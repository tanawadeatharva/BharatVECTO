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TE-Em\Emissionsmodelle\VECTO\Dokumentation\"/>
    </mc:Choice>
  </mc:AlternateContent>
  <bookViews>
    <workbookView xWindow="0" yWindow="0" windowWidth="28800" windowHeight="13500" tabRatio="810"/>
  </bookViews>
  <sheets>
    <sheet name="Content" sheetId="16" r:id="rId1"/>
    <sheet name="CIF_ResultMatrix" sheetId="7" r:id="rId2"/>
    <sheet name="CIF_ResultMatrix_XPath_Conv" sheetId="13" r:id="rId3"/>
    <sheet name="CIF_ResultMatrix_XPath_NonOVC" sheetId="10" r:id="rId4"/>
    <sheet name="CIF_ResultMatrix_XPath OVC" sheetId="11" r:id="rId5"/>
    <sheet name="CIF_ResultMatrix_XPath_PEV" sheetId="12" r:id="rId6"/>
    <sheet name="CIF_ResultMatrix_Explanation" sheetId="6" r:id="rId7"/>
    <sheet name="CIF_Content_per_Architecture" sheetId="14" r:id="rId8"/>
    <sheet name="MRF_Content_perArchitecture" sheetId="9" r:id="rId9"/>
  </sheets>
  <definedNames>
    <definedName name="_xlnm._FilterDatabase" localSheetId="8" hidden="1">MRF_Content_perArchitecture!$A$1:$A$249</definedName>
    <definedName name="_Hlk1126142" localSheetId="8">MRF_Content_perArchitecture!$A$2</definedName>
    <definedName name="_Hlk1126182" localSheetId="8">MRF_Content_perArchitecture!$A$4</definedName>
    <definedName name="_Hlk1126201" localSheetId="8">MRF_Content_perArchitecture!$A$12</definedName>
    <definedName name="_Hlk1126945" localSheetId="8">MRF_Content_perArchitecture!#REF!</definedName>
    <definedName name="_Hlk1126953" localSheetId="8">MRF_Content_perArchitecture!$A$83</definedName>
    <definedName name="_Hlk1126981" localSheetId="8">MRF_Content_perArchitecture!$A$108</definedName>
    <definedName name="_Hlk1127053" localSheetId="8">MRF_Content_perArchitecture!$A$199</definedName>
    <definedName name="_Hlk1128606" localSheetId="8">MRF_Content_perArchitecture!$A$147</definedName>
    <definedName name="_Hlk1131303" localSheetId="8">MRF_Content_perArchitecture!$A$207</definedName>
    <definedName name="_Hlk1131335" localSheetId="8">MRF_Content_perArchitecture!$A$200</definedName>
    <definedName name="_Hlk1131572" localSheetId="8">MRF_Content_perArchitecture!$A$37</definedName>
    <definedName name="_Hlk1131611" localSheetId="8">MRF_Content_perArchitecture!$A$36</definedName>
    <definedName name="_Hlk1133912" localSheetId="8">MRF_Content_perArchitecture!#REF!</definedName>
    <definedName name="_Hlk1133947" localSheetId="8">MRF_Content_perArchitecture!#REF!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2" i="14" l="1"/>
  <c r="AC101" i="14"/>
  <c r="AC99" i="14"/>
  <c r="AC98" i="14"/>
  <c r="F101" i="12" l="1"/>
  <c r="F100" i="12"/>
  <c r="F99" i="12"/>
  <c r="F98" i="12"/>
  <c r="F97" i="12"/>
  <c r="F96" i="12"/>
  <c r="F95" i="12"/>
  <c r="F94" i="12"/>
  <c r="F90" i="12"/>
  <c r="F89" i="12"/>
  <c r="F88" i="12"/>
  <c r="F87" i="12"/>
  <c r="F86" i="12"/>
  <c r="F85" i="12"/>
  <c r="F84" i="12"/>
  <c r="F83" i="12"/>
  <c r="K58" i="12"/>
  <c r="H58" i="12"/>
  <c r="K57" i="12"/>
  <c r="H57" i="12"/>
  <c r="K56" i="12"/>
  <c r="H56" i="12"/>
  <c r="K55" i="12"/>
  <c r="H55" i="12"/>
  <c r="K54" i="12"/>
  <c r="H54" i="12"/>
  <c r="K53" i="12"/>
  <c r="H53" i="12"/>
  <c r="K52" i="12"/>
  <c r="H52" i="12"/>
  <c r="K51" i="12"/>
  <c r="H51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5" i="12"/>
  <c r="H35" i="12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K46" i="11"/>
  <c r="J46" i="11"/>
  <c r="I46" i="11"/>
  <c r="H46" i="11"/>
  <c r="G46" i="11"/>
  <c r="F46" i="11"/>
  <c r="K45" i="11"/>
  <c r="J45" i="11"/>
  <c r="I45" i="11"/>
  <c r="H45" i="11"/>
  <c r="G45" i="11"/>
  <c r="F45" i="11"/>
  <c r="K44" i="11"/>
  <c r="J44" i="11"/>
  <c r="I44" i="11"/>
  <c r="H44" i="11"/>
  <c r="G44" i="11"/>
  <c r="F44" i="11"/>
  <c r="K43" i="11"/>
  <c r="J43" i="11"/>
  <c r="I43" i="11"/>
  <c r="H43" i="11"/>
  <c r="G43" i="11"/>
  <c r="F43" i="11"/>
  <c r="K42" i="11"/>
  <c r="J42" i="11"/>
  <c r="I42" i="11"/>
  <c r="H42" i="11"/>
  <c r="G42" i="11"/>
  <c r="F42" i="11"/>
  <c r="K41" i="11"/>
  <c r="J41" i="11"/>
  <c r="I41" i="11"/>
  <c r="H41" i="11"/>
  <c r="G41" i="11"/>
  <c r="F41" i="11"/>
  <c r="K40" i="11"/>
  <c r="J40" i="11"/>
  <c r="I40" i="11"/>
  <c r="H40" i="11"/>
  <c r="G40" i="11"/>
  <c r="F40" i="11"/>
  <c r="K39" i="11"/>
  <c r="J39" i="11"/>
  <c r="I39" i="11"/>
  <c r="H39" i="11"/>
  <c r="G39" i="11"/>
  <c r="F39" i="11"/>
  <c r="K38" i="11"/>
  <c r="J38" i="11"/>
  <c r="I38" i="11"/>
  <c r="H38" i="11"/>
  <c r="G38" i="11"/>
  <c r="F38" i="11"/>
  <c r="K37" i="11"/>
  <c r="J37" i="11"/>
  <c r="I37" i="11"/>
  <c r="H37" i="11"/>
  <c r="G37" i="11"/>
  <c r="F37" i="11"/>
  <c r="K36" i="11"/>
  <c r="J36" i="11"/>
  <c r="I36" i="11"/>
  <c r="H36" i="11"/>
  <c r="G36" i="11"/>
  <c r="F36" i="11"/>
  <c r="K35" i="11"/>
  <c r="J35" i="11"/>
  <c r="I35" i="11"/>
  <c r="H35" i="11"/>
  <c r="G35" i="11"/>
  <c r="F35" i="11"/>
  <c r="K34" i="11"/>
  <c r="J34" i="11"/>
  <c r="I34" i="11"/>
  <c r="H34" i="11"/>
  <c r="G34" i="11"/>
  <c r="F34" i="11"/>
  <c r="K33" i="11"/>
  <c r="J33" i="11"/>
  <c r="I33" i="11"/>
  <c r="H33" i="11"/>
  <c r="G33" i="11"/>
  <c r="F33" i="11"/>
  <c r="K32" i="11"/>
  <c r="J32" i="11"/>
  <c r="I32" i="11"/>
  <c r="H32" i="11"/>
  <c r="G32" i="11"/>
  <c r="F32" i="11"/>
  <c r="K31" i="11"/>
  <c r="J31" i="11"/>
  <c r="I31" i="11"/>
  <c r="H31" i="11"/>
  <c r="G31" i="11"/>
  <c r="F31" i="11"/>
  <c r="K30" i="11"/>
  <c r="J30" i="11"/>
  <c r="I30" i="11"/>
  <c r="H30" i="11"/>
  <c r="G30" i="11"/>
  <c r="F30" i="11"/>
  <c r="K29" i="11"/>
  <c r="J29" i="11"/>
  <c r="I29" i="11"/>
  <c r="H29" i="11"/>
  <c r="G29" i="11"/>
  <c r="F29" i="11"/>
  <c r="K28" i="11"/>
  <c r="J28" i="11"/>
  <c r="I28" i="11"/>
  <c r="H28" i="11"/>
  <c r="G28" i="11"/>
  <c r="F28" i="11"/>
  <c r="K27" i="11"/>
  <c r="J27" i="11"/>
  <c r="I27" i="11"/>
  <c r="H27" i="11"/>
  <c r="G27" i="11"/>
  <c r="F27" i="11"/>
  <c r="K26" i="11"/>
  <c r="J26" i="11"/>
  <c r="I26" i="11"/>
  <c r="H26" i="11"/>
  <c r="G26" i="11"/>
  <c r="F26" i="11"/>
  <c r="K25" i="11"/>
  <c r="J25" i="11"/>
  <c r="I25" i="11"/>
  <c r="H25" i="11"/>
  <c r="G25" i="11"/>
  <c r="F25" i="11"/>
  <c r="K24" i="11"/>
  <c r="J24" i="11"/>
  <c r="I24" i="11"/>
  <c r="H24" i="11"/>
  <c r="G24" i="11"/>
  <c r="F24" i="11"/>
  <c r="K23" i="11"/>
  <c r="J23" i="11"/>
  <c r="I23" i="11"/>
  <c r="H23" i="11"/>
  <c r="G23" i="11"/>
  <c r="F23" i="11"/>
  <c r="F72" i="10"/>
  <c r="F73" i="10"/>
  <c r="F74" i="10"/>
  <c r="F75" i="10"/>
  <c r="F76" i="10"/>
  <c r="F77" i="10"/>
  <c r="F78" i="10"/>
  <c r="F79" i="10"/>
  <c r="F80" i="10"/>
  <c r="F81" i="10"/>
  <c r="F82" i="10"/>
  <c r="F71" i="10"/>
  <c r="F68" i="10"/>
  <c r="F69" i="10"/>
  <c r="F70" i="10"/>
  <c r="F67" i="10"/>
  <c r="K44" i="10"/>
  <c r="K45" i="10"/>
  <c r="K46" i="10"/>
  <c r="K43" i="10"/>
  <c r="H44" i="10"/>
  <c r="H45" i="10"/>
  <c r="H46" i="10"/>
  <c r="H43" i="10"/>
  <c r="K24" i="10"/>
  <c r="K25" i="10"/>
  <c r="K26" i="10"/>
  <c r="K27" i="10"/>
  <c r="K28" i="10"/>
  <c r="K29" i="10"/>
  <c r="K30" i="10"/>
  <c r="K31" i="10"/>
  <c r="K32" i="10"/>
  <c r="K33" i="10"/>
  <c r="K34" i="10"/>
  <c r="H24" i="10"/>
  <c r="H25" i="10"/>
  <c r="H26" i="10"/>
  <c r="H27" i="10"/>
  <c r="H28" i="10"/>
  <c r="H29" i="10"/>
  <c r="H30" i="10"/>
  <c r="H31" i="10"/>
  <c r="H32" i="10"/>
  <c r="H33" i="10"/>
  <c r="H34" i="10"/>
  <c r="K23" i="10"/>
  <c r="H23" i="10"/>
  <c r="F72" i="13"/>
  <c r="F73" i="13"/>
  <c r="F74" i="13"/>
  <c r="F75" i="13"/>
  <c r="F76" i="13"/>
  <c r="F77" i="13"/>
  <c r="F78" i="13"/>
  <c r="F79" i="13"/>
  <c r="F80" i="13"/>
  <c r="F81" i="13"/>
  <c r="F82" i="13"/>
  <c r="F71" i="13"/>
  <c r="F68" i="13"/>
  <c r="F69" i="13"/>
  <c r="F70" i="13"/>
  <c r="F67" i="13"/>
  <c r="K44" i="13"/>
  <c r="K45" i="13"/>
  <c r="K46" i="13"/>
  <c r="K43" i="13"/>
  <c r="H44" i="13"/>
  <c r="H45" i="13"/>
  <c r="H46" i="13"/>
  <c r="H43" i="13"/>
  <c r="K24" i="13"/>
  <c r="K25" i="13"/>
  <c r="K26" i="13"/>
  <c r="K27" i="13"/>
  <c r="K28" i="13"/>
  <c r="K29" i="13"/>
  <c r="K30" i="13"/>
  <c r="K31" i="13"/>
  <c r="K32" i="13"/>
  <c r="K33" i="13"/>
  <c r="K34" i="13"/>
  <c r="K23" i="13"/>
  <c r="H24" i="13"/>
  <c r="H25" i="13"/>
  <c r="H26" i="13"/>
  <c r="H27" i="13"/>
  <c r="H28" i="13"/>
  <c r="H29" i="13"/>
  <c r="H30" i="13"/>
  <c r="H31" i="13"/>
  <c r="H32" i="13"/>
  <c r="H33" i="13"/>
  <c r="H34" i="13"/>
  <c r="H23" i="13"/>
</calcChain>
</file>

<file path=xl/comments1.xml><?xml version="1.0" encoding="utf-8"?>
<comments xmlns="http://schemas.openxmlformats.org/spreadsheetml/2006/main">
  <authors>
    <author>Rexeis Martin</author>
    <author>Quaritsch Markus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AA4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 of this stage only
</t>
        </r>
      </text>
    </comment>
    <comment ref="AA7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of this stage only
</t>
        </r>
      </text>
    </comment>
    <comment ref="O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</t>
        </r>
      </text>
    </comment>
    <comment ref="P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Q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R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S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T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U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V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W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X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O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P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Q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R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S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T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U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V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W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X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1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1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J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U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V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W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X2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45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X45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M4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X4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E81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P81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U90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V90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W90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X90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B118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kWh/t-km in 2.6.2</t>
        </r>
      </text>
    </comment>
    <comment ref="O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P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Q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R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S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T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U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V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W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X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A126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</commentList>
</comments>
</file>

<file path=xl/comments2.xml><?xml version="1.0" encoding="utf-8"?>
<comments xmlns="http://schemas.openxmlformats.org/spreadsheetml/2006/main">
  <authors>
    <author>Rexeis Martin</author>
    <author>Quaritsch Markus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Z4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4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B4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F4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Z5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A5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B5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F5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Z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A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B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F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Z9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A9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B9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F9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D15" authorId="0" shapeId="0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E15" authorId="0" shapeId="0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F15" authorId="0" shapeId="0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D16" authorId="0" shapeId="0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E16" authorId="0" shapeId="0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F16" authorId="0" shapeId="0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J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U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V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W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X2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26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
</t>
        </r>
      </text>
    </comment>
    <comment ref="A27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8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9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0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1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2" authorId="1" shapeId="0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B129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the structure in Annex IV was not updated after the final revision of the input data --&gt; The VECTO output needs to fit to the input.
Annex IV to be udated for the 3rd amendment</t>
        </r>
      </text>
    </comment>
    <comment ref="U235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B235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
All units as always, i.e. lit., g, MJ as well as /100km and /p-km</t>
        </r>
      </text>
    </comment>
    <comment ref="O248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E248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F248" authorId="0" shapeId="0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</commentList>
</comments>
</file>

<file path=xl/sharedStrings.xml><?xml version="1.0" encoding="utf-8"?>
<sst xmlns="http://schemas.openxmlformats.org/spreadsheetml/2006/main" count="8705" uniqueCount="826">
  <si>
    <t>Mission profile</t>
  </si>
  <si>
    <t>Payload</t>
  </si>
  <si>
    <t>Result level</t>
  </si>
  <si>
    <t>CO2 emissions</t>
  </si>
  <si>
    <t>Electric energy consumption</t>
  </si>
  <si>
    <t>Zero CO2 emissions range</t>
  </si>
  <si>
    <t>[km]</t>
  </si>
  <si>
    <t>[-]</t>
  </si>
  <si>
    <t>low</t>
  </si>
  <si>
    <t>---</t>
  </si>
  <si>
    <t>Total</t>
  </si>
  <si>
    <t>X</t>
  </si>
  <si>
    <t>Annex</t>
  </si>
  <si>
    <t>Comment</t>
  </si>
  <si>
    <t>Conventional Lorry</t>
  </si>
  <si>
    <t>HEV-Px/IHPC Lorry</t>
  </si>
  <si>
    <t>HEV-S2 Lorry</t>
  </si>
  <si>
    <t>HEV-S3 Lorry</t>
  </si>
  <si>
    <t>HEV-S4 Lorry</t>
  </si>
  <si>
    <t>HEV-IEPC-S Lorry</t>
  </si>
  <si>
    <t>PEV-E2 Lorry</t>
  </si>
  <si>
    <t>PEV-E3 Lorry</t>
  </si>
  <si>
    <t>PEV-E4 Lorry</t>
  </si>
  <si>
    <t>PEV-IEPC Lorry</t>
  </si>
  <si>
    <t>Conventional Completed Bus</t>
  </si>
  <si>
    <t>HEV-Px/IHPC Completed Bus</t>
  </si>
  <si>
    <t>HEV-S2 Completed Bus</t>
  </si>
  <si>
    <t>HEV-S3 Completed Bus</t>
  </si>
  <si>
    <t>HEV-S4 Completed Bus</t>
  </si>
  <si>
    <t>HEV-IEPC-S Completed Bus</t>
  </si>
  <si>
    <t>PEV-E2 Completed Bus</t>
  </si>
  <si>
    <t>PEV-E3 Completed Bus</t>
  </si>
  <si>
    <t>PEV-E4 Completed Bus</t>
  </si>
  <si>
    <t>PEV-IEPC Completed Bus</t>
  </si>
  <si>
    <t>Exempted Lorry</t>
  </si>
  <si>
    <t>Exempted Completed Bus</t>
  </si>
  <si>
    <t>XPATH</t>
  </si>
  <si>
    <t>Vehicle, component, separate technical unit and systems data</t>
  </si>
  <si>
    <t>1.1.</t>
  </si>
  <si>
    <t>Vehicle data</t>
  </si>
  <si>
    <t>1.1.1.</t>
  </si>
  <si>
    <t>Vehicle identification number (VIN)……………..</t>
  </si>
  <si>
    <t>x</t>
  </si>
  <si>
    <t>1.1.2.</t>
  </si>
  <si>
    <t>Vehicle category (N2, N3, M3)……….</t>
  </si>
  <si>
    <t>1.1.3.</t>
  </si>
  <si>
    <t>Axle configuration………………..</t>
  </si>
  <si>
    <t>1.1.4.</t>
  </si>
  <si>
    <t>Technically Permissible Maximum Laden Mass (t)………………….</t>
  </si>
  <si>
    <t>1.1.5.</t>
  </si>
  <si>
    <t>Vehicle group in accordance with Annex I………………..</t>
  </si>
  <si>
    <t xml:space="preserve">1.1.5a. </t>
  </si>
  <si>
    <t>Vehicle (Sub)group for CO2 standards…………</t>
  </si>
  <si>
    <t>only if sub-group is available</t>
  </si>
  <si>
    <t>1.1.6.</t>
  </si>
  <si>
    <t>Name and address(es) of manufacturer(s)……………..</t>
  </si>
  <si>
    <t>1.1.7.</t>
  </si>
  <si>
    <t>Model………………….</t>
  </si>
  <si>
    <t>1.1.8.</t>
  </si>
  <si>
    <t>Corrected actual mass (kg)……………………</t>
  </si>
  <si>
    <t>1.1.9.</t>
  </si>
  <si>
    <t>Vocational vehicle (yes/no)………………………………..</t>
  </si>
  <si>
    <t>1.1.10.</t>
  </si>
  <si>
    <t>Zero emission heavy-duty vehicle (yes/no)……………………………..</t>
  </si>
  <si>
    <t>1.1.11.</t>
  </si>
  <si>
    <t>Hybrid electric heavy-duty vehicle (yes/no)………………………………</t>
  </si>
  <si>
    <t>1.1.12.</t>
  </si>
  <si>
    <t>Dual-fuel vehicle (yes/no)…………………………………………….</t>
  </si>
  <si>
    <t xml:space="preserve">1.1.12a.             </t>
  </si>
  <si>
    <t>Waste Heat recovery (yes/no) …………………………………………….</t>
  </si>
  <si>
    <t>1.1.13.</t>
  </si>
  <si>
    <t>Sleeper cab (yes/no)…………………………………………………..</t>
  </si>
  <si>
    <t>1.1.14.</t>
  </si>
  <si>
    <t>HEV architecture (e.g. P1, P2) ….</t>
  </si>
  <si>
    <t>1.1.15.</t>
  </si>
  <si>
    <t>PEV architecture (e.g. E2, E3) ….</t>
  </si>
  <si>
    <t>1.1.16.</t>
  </si>
  <si>
    <t>Off-vehicle charging capability (yes/no) ….</t>
  </si>
  <si>
    <t>1.1.17.</t>
  </si>
  <si>
    <t>&lt;reserved&gt;</t>
  </si>
  <si>
    <t>1.1.18.</t>
  </si>
  <si>
    <t>Off-vehicle charging maximum power (kW) ….</t>
  </si>
  <si>
    <t>o</t>
  </si>
  <si>
    <t>1.1.19.</t>
  </si>
  <si>
    <t>Vehicle technology exempted from Article 9 ….</t>
  </si>
  <si>
    <t>1.1.20.</t>
  </si>
  <si>
    <t>Class of bus (e.g. I, I+II etc.)…</t>
  </si>
  <si>
    <t>1.1.21.</t>
  </si>
  <si>
    <t>Total number of registered passengers ……….</t>
  </si>
  <si>
    <t>not yet in Annex IV</t>
  </si>
  <si>
    <t>VehicleTypeApprovalNumber</t>
  </si>
  <si>
    <t>1.2.</t>
  </si>
  <si>
    <t>Component, separate technical unit and systems data</t>
  </si>
  <si>
    <t>1.2.1.</t>
  </si>
  <si>
    <t>Engine rated power (kW)………………..</t>
  </si>
  <si>
    <t>1.2.2.</t>
  </si>
  <si>
    <t>Engine capacity (ltr)………………..</t>
  </si>
  <si>
    <t>1.2.3.</t>
  </si>
  <si>
    <t>Fuel type (Diesel CI/CNG PI/LNG PI...)………………….</t>
  </si>
  <si>
    <t>dual fuel: multiple entries</t>
  </si>
  <si>
    <t>1.2.4.</t>
  </si>
  <si>
    <t>Transmission values (measured/standard)……………….</t>
  </si>
  <si>
    <t>1.2.5.</t>
  </si>
  <si>
    <t>Transmission type (SMT, AMT, APT, none)…………………</t>
  </si>
  <si>
    <t>1.2.6.</t>
  </si>
  <si>
    <r>
      <rPr>
        <sz val="11"/>
        <rFont val="Calibri"/>
        <family val="2"/>
        <scheme val="minor"/>
      </rPr>
      <t>No</t>
    </r>
    <r>
      <rPr>
        <sz val="11"/>
        <rFont val="Calibri"/>
        <family val="2"/>
        <scheme val="minor"/>
      </rPr>
      <t>. of gears………………….</t>
    </r>
  </si>
  <si>
    <t>if no transmission --&gt; "1"</t>
  </si>
  <si>
    <t>1.2.7.</t>
  </si>
  <si>
    <t>Retarder (yes/no)……………….</t>
  </si>
  <si>
    <t>1.2.8.</t>
  </si>
  <si>
    <t>Axle ratio………………….</t>
  </si>
  <si>
    <t>1.2.9.</t>
  </si>
  <si>
    <t>Average rolling resistance coefficient (RRC) of all tyres of the motor vehicle: ………………….</t>
  </si>
  <si>
    <t>1.2.10a.</t>
  </si>
  <si>
    <t>Tyre dimension for each axle of the motor vehicle ……….</t>
  </si>
  <si>
    <t>1.2.10b.</t>
  </si>
  <si>
    <r>
      <t>Fuel efficiency class of tyres in accordance with Regulation (EU) 2020/740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for each axle of the motor vehicle.………………</t>
    </r>
  </si>
  <si>
    <t>1.2.10c.</t>
  </si>
  <si>
    <t>Tyre certification number for each axle of the motor vehicle ……….</t>
  </si>
  <si>
    <t>1.2.11.</t>
  </si>
  <si>
    <t>Engine stop-start during vehicle stops (yes/no)…………………</t>
  </si>
  <si>
    <t>1.2.12.</t>
  </si>
  <si>
    <t>Eco-roll without engine stop-start (yes/no)………………………</t>
  </si>
  <si>
    <t>use direcly from input</t>
  </si>
  <si>
    <t>1.2.13.</t>
  </si>
  <si>
    <t>Eco-roll with engine stop-start (yes/no)…………………………….</t>
  </si>
  <si>
    <t>1.2.14.</t>
  </si>
  <si>
    <t>Predictive cruise control (yes/no)…………………………………..</t>
  </si>
  <si>
    <t>1.2.15.</t>
  </si>
  <si>
    <t>Electric machine system(s) total rated propulsion power (kW)…………………</t>
  </si>
  <si>
    <t>1.2.16.</t>
  </si>
  <si>
    <t>Electric machine system total maximum continuous propulsion power (kW)…………………</t>
  </si>
  <si>
    <t>1.2.17.</t>
  </si>
  <si>
    <t>REESS total storage capacity (kWh)……………….</t>
  </si>
  <si>
    <t>1.2.18.</t>
  </si>
  <si>
    <t>REESS useable storage capacity in simulation (kWh)……………….</t>
  </si>
  <si>
    <t>1.3.</t>
  </si>
  <si>
    <t>Auxiliary configuration</t>
  </si>
  <si>
    <t>1.3.1.</t>
  </si>
  <si>
    <t>Steering pump technology…………….</t>
  </si>
  <si>
    <t>1.3.2.</t>
  </si>
  <si>
    <t>Electric system</t>
  </si>
  <si>
    <t>1.3.2.1</t>
  </si>
  <si>
    <t>Alternator technology (conventional, smart, no alternator)……………</t>
  </si>
  <si>
    <t>1.3.2.2</t>
  </si>
  <si>
    <t>Max alternator power (smart electrics) (kW)……………</t>
  </si>
  <si>
    <t>1.3.2.3</t>
  </si>
  <si>
    <t>Electric storage capacity (smart electrics) (kWh)……………</t>
  </si>
  <si>
    <t>1.3.3.</t>
  </si>
  <si>
    <t>Pneumatic system</t>
  </si>
  <si>
    <t>1.3.3.1</t>
  </si>
  <si>
    <t>Smart compression system ……………….</t>
  </si>
  <si>
    <t>1.3.3.2</t>
  </si>
  <si>
    <t>Smart regeneration system ……………….</t>
  </si>
  <si>
    <t>1.3.4.</t>
  </si>
  <si>
    <t>HVAC system</t>
  </si>
  <si>
    <t>1.3.4.1</t>
  </si>
  <si>
    <t>System configuration …………………..</t>
  </si>
  <si>
    <t>1.3.4.2</t>
  </si>
  <si>
    <t>Auxiliary heater power (kW) ……………….</t>
  </si>
  <si>
    <t>1.3.4.3</t>
  </si>
  <si>
    <t>Double glazing (yes/no) ……………….</t>
  </si>
  <si>
    <t>CO2 emissions and fuel consumption of the vehicle (for each mission profile and loading combination, for OVC-HEVs additionally for charge depleting, charge sustaining mode and weighted)</t>
  </si>
  <si>
    <t>2.1.</t>
  </si>
  <si>
    <t>Simulation parameters</t>
  </si>
  <si>
    <t>2.1.1.</t>
  </si>
  <si>
    <t xml:space="preserve">Mission profile.…………… </t>
  </si>
  <si>
    <t>2.1.2.</t>
  </si>
  <si>
    <t>Payload (kg) .……………</t>
  </si>
  <si>
    <t>2.1.3.</t>
  </si>
  <si>
    <t>Passenger information</t>
  </si>
  <si>
    <t>2.1.3.1</t>
  </si>
  <si>
    <t>Number of passengers in simulation …….. (-)</t>
  </si>
  <si>
    <t>2.1.3.2</t>
  </si>
  <si>
    <t>Mass of passengers in simulation …….. (kg)</t>
  </si>
  <si>
    <t>2.1.4.</t>
  </si>
  <si>
    <t>Total vehicle mass in simulation (kg) .……………</t>
  </si>
  <si>
    <r>
      <t>2.1.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.</t>
    </r>
  </si>
  <si>
    <t>OVC mode (charge depleting, charge sustaining, weighted) ….</t>
  </si>
  <si>
    <t>when OVC is available</t>
  </si>
  <si>
    <t>2.2.</t>
  </si>
  <si>
    <t>Average speed (km/h) …………………</t>
  </si>
  <si>
    <t>not for OVC=weighted</t>
  </si>
  <si>
    <t>2.3.</t>
  </si>
  <si>
    <t>Fuel and energy consumption results (per fuel type and electric energy)</t>
  </si>
  <si>
    <t>2.3.1.</t>
  </si>
  <si>
    <t>Fuel consumption (g/km)…………….</t>
  </si>
  <si>
    <t>2.3.2.</t>
  </si>
  <si>
    <t>Fuel consumption (g/t-km)……………………</t>
  </si>
  <si>
    <t>2.3.3.</t>
  </si>
  <si>
    <t>Fuel consumption (g/p-km)………………..</t>
  </si>
  <si>
    <t>2.3.4.</t>
  </si>
  <si>
    <t>Fuel consumption (g/m³-km)…………………..</t>
  </si>
  <si>
    <t>2.3.5.</t>
  </si>
  <si>
    <t>Fuel consumption (l/100km)………………….</t>
  </si>
  <si>
    <t>lit not for gaseous fuels</t>
  </si>
  <si>
    <t>2.3.6.</t>
  </si>
  <si>
    <t>Fuel consumption (l/t-km)…………………</t>
  </si>
  <si>
    <t>2.3.7.</t>
  </si>
  <si>
    <t>Fuel consumption (l/p-km)…………………..</t>
  </si>
  <si>
    <t>2.3.8.</t>
  </si>
  <si>
    <t>Fuel consumption (l/m³-km)……………..</t>
  </si>
  <si>
    <t>2.3.9.</t>
  </si>
  <si>
    <t>Energy consumption (MJ/km, kWh/km)…………………..</t>
  </si>
  <si>
    <t>2.3.10.</t>
  </si>
  <si>
    <t>Energy consumption (MJ/t-km, kWh/t-km)…………..</t>
  </si>
  <si>
    <t>2.3.11.</t>
  </si>
  <si>
    <t>Energy consumption (MJ/p-km, kWh/p-km)………………….</t>
  </si>
  <si>
    <t>2.3.12.</t>
  </si>
  <si>
    <t>Energy consumption (MJ/m³-km, kWh/m³-km)………………..</t>
  </si>
  <si>
    <t>2.4.</t>
  </si>
  <si>
    <t>CO2 results (for each mission profile and loading combination)</t>
  </si>
  <si>
    <t>2.4.1.</t>
  </si>
  <si>
    <t>CO2 (g/km)…………….</t>
  </si>
  <si>
    <t>2.4.2.</t>
  </si>
  <si>
    <t>CO2 (g/t-km)……………….</t>
  </si>
  <si>
    <t>2.4.3.</t>
  </si>
  <si>
    <t>CO2 (g/p-km)……………</t>
  </si>
  <si>
    <t>2.4.5.</t>
  </si>
  <si>
    <t>CO2 (g/m³-km)……………..</t>
  </si>
  <si>
    <t>FuelConsumptionZeroEmissionVehicleAuxHeater</t>
  </si>
  <si>
    <t>CO2ZeroEmissionVehicleAuxHeater</t>
  </si>
  <si>
    <t>UtilityFactor</t>
  </si>
  <si>
    <t>only in case ovc hev</t>
  </si>
  <si>
    <t>2.5.</t>
  </si>
  <si>
    <t>Electric Ranges</t>
  </si>
  <si>
    <t>2.5.1.</t>
  </si>
  <si>
    <t>Actual charge depleting range (km)…</t>
  </si>
  <si>
    <t>only when OVC=charge depleting</t>
  </si>
  <si>
    <t>2.5.2.</t>
  </si>
  <si>
    <t>Equivalent all electric range (km)…</t>
  </si>
  <si>
    <t>2.5.3.</t>
  </si>
  <si>
    <t>Zero CO2 emission range (km) …..</t>
  </si>
  <si>
    <t>only when OVC and for 'total'</t>
  </si>
  <si>
    <t>2.6.</t>
  </si>
  <si>
    <t>Weighted results</t>
  </si>
  <si>
    <t>weighted results over all simulations</t>
  </si>
  <si>
    <t>2.6.1.</t>
  </si>
  <si>
    <t>Specific CO2 emissions (gCO2/t-km) ………………</t>
  </si>
  <si>
    <t>2.6.2.</t>
  </si>
  <si>
    <t>Specific electric energy consumption (kWh/t-km) ……</t>
  </si>
  <si>
    <t>only when OVC = true</t>
  </si>
  <si>
    <t>2.6.3.</t>
  </si>
  <si>
    <t>Average payload value (t)…………</t>
  </si>
  <si>
    <t>2.6.4.</t>
  </si>
  <si>
    <t>Specific CO2 emissions (gCO2/p-km) ……………………</t>
  </si>
  <si>
    <t>2.6.5.</t>
  </si>
  <si>
    <t>Specific electric energy consumption (kWh/p-km) …………</t>
  </si>
  <si>
    <t>2.6.6.</t>
  </si>
  <si>
    <t xml:space="preserve">Average passenger count (p)…………… </t>
  </si>
  <si>
    <t xml:space="preserve">2.6.7. </t>
  </si>
  <si>
    <t>2.6.8.</t>
  </si>
  <si>
    <t>2.6.9.</t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</si>
  <si>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(MJ/km, kWh/km)…………………..</t>
    </r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</si>
  <si>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(MJ/t-km)…………..</t>
    </r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</si>
  <si>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(MJ/p-km)………………….</t>
    </r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</si>
  <si>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(MJ/m³-km, kWh/m³-km)………………..</t>
    </r>
  </si>
  <si>
    <t>Software information</t>
  </si>
  <si>
    <t>3.1.</t>
  </si>
  <si>
    <t>Simulation tool version…………………..</t>
  </si>
  <si>
    <t>3.2.</t>
  </si>
  <si>
    <t>Date and time of the simulation…………………..</t>
  </si>
  <si>
    <t>3.3.</t>
  </si>
  <si>
    <t>Cryptographic hash simulation tool input information and input data of the primary vehicle (if applicable)………..</t>
  </si>
  <si>
    <t>3.4.</t>
  </si>
  <si>
    <t>Cryptographic hash of the manufacturer’s record file of the primary vehicle (if applicable) ……………</t>
  </si>
  <si>
    <t xml:space="preserve">3.5. </t>
  </si>
  <si>
    <t>Cryptographic hash of the vehicle simulation tool input information and input data …………………..</t>
  </si>
  <si>
    <t>3.6.</t>
  </si>
  <si>
    <t>Cryptographic hash of the manufacturer's records file …………………..</t>
  </si>
  <si>
    <t>3.7.</t>
  </si>
  <si>
    <t>Cryptographic hash of the customer information file ...............</t>
  </si>
  <si>
    <t>(X)</t>
  </si>
  <si>
    <t>ResultSuccessConventionalType</t>
  </si>
  <si>
    <t>ResultSuccessNonOVCHEVType</t>
  </si>
  <si>
    <t>ResultSuccessOVCHEVType</t>
  </si>
  <si>
    <t>ResultSuccessPEVType</t>
  </si>
  <si>
    <t>Number of passengers in simulation</t>
  </si>
  <si>
    <t>Mass of passengers in simulation</t>
  </si>
  <si>
    <t>Total vehicle mass in simulation</t>
  </si>
  <si>
    <t>Average speed</t>
  </si>
  <si>
    <r>
      <t>Fuel consumption</t>
    </r>
    <r>
      <rPr>
        <sz val="11"/>
        <color theme="1"/>
        <rFont val="Calibri"/>
        <family val="2"/>
        <scheme val="minor"/>
      </rPr>
      <t xml:space="preserve"> (per fuel type)</t>
    </r>
  </si>
  <si>
    <t>kg</t>
  </si>
  <si>
    <t>-</t>
  </si>
  <si>
    <t>km/h</t>
  </si>
  <si>
    <t>g/km</t>
  </si>
  <si>
    <t>g/t-km</t>
  </si>
  <si>
    <t>g/m³-km</t>
  </si>
  <si>
    <t>MJ/km</t>
  </si>
  <si>
    <t>MJ/t-km</t>
  </si>
  <si>
    <t>MJ/m³-km</t>
  </si>
  <si>
    <t>kWh/km</t>
  </si>
  <si>
    <t>kWh/t-km</t>
  </si>
  <si>
    <t>kWh/m³-km</t>
  </si>
  <si>
    <t>g/p-km</t>
  </si>
  <si>
    <t>MJ/p-km</t>
  </si>
  <si>
    <t>l/t-km</t>
  </si>
  <si>
    <t>l/p-km</t>
  </si>
  <si>
    <t>l/m³-km</t>
  </si>
  <si>
    <t>kWh/p-km</t>
  </si>
  <si>
    <t>Actual charge depleting range</t>
  </si>
  <si>
    <t>Equivalent all electric range</t>
  </si>
  <si>
    <t>representative</t>
  </si>
  <si>
    <t>Average payload value</t>
  </si>
  <si>
    <t>t</t>
  </si>
  <si>
    <t>Average passenger count</t>
  </si>
  <si>
    <t>gCO2/t-km</t>
  </si>
  <si>
    <t>Specific CO2 emissions</t>
  </si>
  <si>
    <t>gCO2/p-km</t>
  </si>
  <si>
    <t>CO2 emissions other units</t>
  </si>
  <si>
    <t>Specific electric energy consumption</t>
  </si>
  <si>
    <t>Electric energy consumption other units</t>
  </si>
  <si>
    <t>Fuel consumption auxiliary heater for ZEV</t>
  </si>
  <si>
    <t>CO2 emissions auxiliary heater for ZEV</t>
  </si>
  <si>
    <t>l/100km</t>
  </si>
  <si>
    <t>High level parameter</t>
  </si>
  <si>
    <t>Legend</t>
  </si>
  <si>
    <t>Charge Depleting Mode</t>
  </si>
  <si>
    <t>Charge Sustaining Mode</t>
  </si>
  <si>
    <t>Individual result simulated in specific mode (i.e. CS or CD)</t>
  </si>
  <si>
    <t>Result from specific mode (i.e. CS or CD) without direct output but relevant for total results</t>
  </si>
  <si>
    <t>Post-processing result from above (i.e. grey X) given as output in total results element</t>
  </si>
  <si>
    <t>Weighted result produced by weighted averaging from CS and CD</t>
  </si>
  <si>
    <t>Such does not exist</t>
  </si>
  <si>
    <t>Such does exist</t>
  </si>
  <si>
    <t>Utility factor</t>
  </si>
  <si>
    <t>Xpath</t>
  </si>
  <si>
    <t>Results per mission profile (and payload) combination</t>
  </si>
  <si>
    <t>Cryptographic hash of the manufacturer's records file………….</t>
  </si>
  <si>
    <t xml:space="preserve">Cryptographic hash of simulation tool input information and input data……………. </t>
  </si>
  <si>
    <t xml:space="preserve">Cryptographic hash of the vehicle information file as produced by the simulation tool (if applicable) ………… </t>
  </si>
  <si>
    <t>3.5.</t>
  </si>
  <si>
    <t xml:space="preserve">3.3. </t>
  </si>
  <si>
    <t>Date and time of the  simulation ……………………..</t>
  </si>
  <si>
    <t>Simulation tool version (X.X.X)…………….</t>
  </si>
  <si>
    <t xml:space="preserve">Electric range </t>
  </si>
  <si>
    <t>2.3.16.</t>
  </si>
  <si>
    <t>2.3.15.</t>
  </si>
  <si>
    <t>2.3.14.</t>
  </si>
  <si>
    <t>2.3.13.</t>
  </si>
  <si>
    <t>electric energy consumption only in case of ovc=true, unit kWh only for electric energy consumption (not for fuel)</t>
  </si>
  <si>
    <t>Energy consumption (MJ/km, kWh/km )…………………..</t>
  </si>
  <si>
    <t>Fuel consumption (g/p -km)………………..</t>
  </si>
  <si>
    <t>fuel consumption for each fuel</t>
  </si>
  <si>
    <t>Fuel and energy consumption (per fuel type and electric energy) and CO2 results (total)</t>
  </si>
  <si>
    <t>Average axlegear efficiency (%) .......</t>
  </si>
  <si>
    <t>Average gearbox efficiency (%) .......</t>
  </si>
  <si>
    <t>in case ovc=true: not for OVC=weighted</t>
  </si>
  <si>
    <t>Total driven distance (km)…………….</t>
  </si>
  <si>
    <t>2.2.8.</t>
  </si>
  <si>
    <t>Total number of gear shifts…………………</t>
  </si>
  <si>
    <t>2.2.7.</t>
  </si>
  <si>
    <t>Full load percentage on driving time………………….</t>
  </si>
  <si>
    <t>2.2.6.</t>
  </si>
  <si>
    <t>Maximum acceleration (m/s²)………………</t>
  </si>
  <si>
    <t>2.2.5.</t>
  </si>
  <si>
    <t>Maximum deceleration (m/s²)……………..</t>
  </si>
  <si>
    <t>2.2.4.</t>
  </si>
  <si>
    <t>Maximum instantaneous speed (km/h)……………….</t>
  </si>
  <si>
    <t>2.2.3.</t>
  </si>
  <si>
    <t>Minimum instantaneous speed (km/h)………………</t>
  </si>
  <si>
    <t>2.2.2.</t>
  </si>
  <si>
    <t>Average speed (km/h)…………….</t>
  </si>
  <si>
    <t>2.2.1.</t>
  </si>
  <si>
    <t xml:space="preserve">Vehicle driving performance and information for simulation quality check </t>
  </si>
  <si>
    <t>Primary vehicle sub-group</t>
  </si>
  <si>
    <t>when OVC is true</t>
  </si>
  <si>
    <t>Total vehicle mass in simulation (kg)………………..</t>
  </si>
  <si>
    <t>Passenger count…………</t>
  </si>
  <si>
    <t>2.1.2a.</t>
  </si>
  <si>
    <t>Load (as defined in the simulation tool) (kg)…………</t>
  </si>
  <si>
    <t>Mission profile ………………….</t>
  </si>
  <si>
    <t>Simulation parameters (for each mission profile and loading combination, for OVC-HEVs additionally for charge depleting, charge sustaining mode and weighted)</t>
  </si>
  <si>
    <t xml:space="preserve">Mission profile and loading dependent values </t>
  </si>
  <si>
    <t>Hash of the input data and input information…………….</t>
  </si>
  <si>
    <t>Max voltage</t>
  </si>
  <si>
    <t>Min voltage</t>
  </si>
  <si>
    <t>Capacitance</t>
  </si>
  <si>
    <t>Certification number</t>
  </si>
  <si>
    <t>Model</t>
  </si>
  <si>
    <t>REESS specifications - Supercap</t>
  </si>
  <si>
    <t>StringID (-)</t>
  </si>
  <si>
    <t>1.15.8.</t>
  </si>
  <si>
    <t>1.15.7.</t>
  </si>
  <si>
    <t>Certification option for electric system losses</t>
  </si>
  <si>
    <t>1.15.6.</t>
  </si>
  <si>
    <t>Total usable capacity in simulation (kWh) ……</t>
  </si>
  <si>
    <t xml:space="preserve">1.15.5. </t>
  </si>
  <si>
    <t>Total storage capacity (kWh) ……</t>
  </si>
  <si>
    <t xml:space="preserve">1.15.4. </t>
  </si>
  <si>
    <t>Nominal voltage (V) ……</t>
  </si>
  <si>
    <t xml:space="preserve">1.15.3. </t>
  </si>
  <si>
    <t>Certification number ……….</t>
  </si>
  <si>
    <t>1.15.2.</t>
  </si>
  <si>
    <t>Model……….</t>
  </si>
  <si>
    <t xml:space="preserve">1.15.1 </t>
  </si>
  <si>
    <t>per battery system (consider string id!)</t>
  </si>
  <si>
    <t>REESS specifications - Battery</t>
  </si>
  <si>
    <t>1.15.</t>
  </si>
  <si>
    <t>1.14.9.</t>
  </si>
  <si>
    <t>Certification option for generation of electric power consumption map ……….</t>
  </si>
  <si>
    <t>1.14.8.</t>
  </si>
  <si>
    <t>Design type wheel motors…..</t>
  </si>
  <si>
    <t>Differential included (yes/no) ………….</t>
  </si>
  <si>
    <t>1.14.7.</t>
  </si>
  <si>
    <t>Lowest total transmission ratio (highest gear times axle ratio if applicable) …</t>
  </si>
  <si>
    <t>1.14.6.</t>
  </si>
  <si>
    <t>Number of gears …………….</t>
  </si>
  <si>
    <t>1.14.5.</t>
  </si>
  <si>
    <t>Maximum continuous power (kW) …………….</t>
  </si>
  <si>
    <t>1.14.4.</t>
  </si>
  <si>
    <t>Rated power (kW) …………….</t>
  </si>
  <si>
    <t>1.14.3.</t>
  </si>
  <si>
    <t>1.14.2.</t>
  </si>
  <si>
    <t>Model……..</t>
  </si>
  <si>
    <t xml:space="preserve">1.14.1 </t>
  </si>
  <si>
    <t>Integrated electric powertrain system (IEPC) specifications</t>
  </si>
  <si>
    <t>1.14.</t>
  </si>
  <si>
    <t>Boosting torque</t>
  </si>
  <si>
    <t>multiple entries possible</t>
  </si>
  <si>
    <t>Rotational speed</t>
  </si>
  <si>
    <t>Boosting limitations</t>
  </si>
  <si>
    <t>ADC only if available</t>
  </si>
  <si>
    <t>Hash of the additional driveline components input data and input information…………….</t>
  </si>
  <si>
    <t>1.13.15.</t>
  </si>
  <si>
    <t>ADC ratio……………..</t>
  </si>
  <si>
    <t>1.13.14.</t>
  </si>
  <si>
    <t>Certification option used for generation of a ADC loss map (standard values/measurement)……………..</t>
  </si>
  <si>
    <t>1.13.13.</t>
  </si>
  <si>
    <t>ADC certification number……………..</t>
  </si>
  <si>
    <t>1.13.12.</t>
  </si>
  <si>
    <t>ADC model ……….</t>
  </si>
  <si>
    <t>1.13.11.</t>
  </si>
  <si>
    <t>Ratio to drivetrain …………….</t>
  </si>
  <si>
    <t>1.13.10.</t>
  </si>
  <si>
    <t>Certification option for generation of electric power consumption map</t>
  </si>
  <si>
    <t>1.13.9.</t>
  </si>
  <si>
    <t>1.13.8.</t>
  </si>
  <si>
    <t>1.13.7.</t>
  </si>
  <si>
    <t>Count at position …………….</t>
  </si>
  <si>
    <t>1.13.6.</t>
  </si>
  <si>
    <t>Coupled axle number (1, 2, 3, 4)…………….</t>
  </si>
  <si>
    <t>1.13.5.</t>
  </si>
  <si>
    <t>Position (GEN, 1, 2, 3, 4)…………….</t>
  </si>
  <si>
    <t>1.13.4.</t>
  </si>
  <si>
    <t>Type (ASM, ESM, PSM, RM) ……….</t>
  </si>
  <si>
    <t xml:space="preserve">1.13.3 </t>
  </si>
  <si>
    <t>1.13.2.</t>
  </si>
  <si>
    <t xml:space="preserve">1.13.1 </t>
  </si>
  <si>
    <t>Electric machine system(s) specifications</t>
  </si>
  <si>
    <t>1.13.</t>
  </si>
  <si>
    <t>Predictive cruise control (yes/no)…………………………………</t>
  </si>
  <si>
    <t>1.12.4.</t>
  </si>
  <si>
    <t>Eco-roll with engine stop-start (yes/no)…………………………..</t>
  </si>
  <si>
    <t>1.12.3.</t>
  </si>
  <si>
    <t>Eco-roll without engine stop-start (yes/no)……………………….</t>
  </si>
  <si>
    <t>1.12.2.</t>
  </si>
  <si>
    <t>Engine stop-start during vehicle stops (yes/no)…………………..</t>
  </si>
  <si>
    <t>1.12.1.</t>
  </si>
  <si>
    <t>Advanced driver assistance systems (ADAS)</t>
  </si>
  <si>
    <t>1.12.</t>
  </si>
  <si>
    <t xml:space="preserve">Engine torque limit at gear … (% of max engine torque) </t>
  </si>
  <si>
    <t>1.11.4.</t>
  </si>
  <si>
    <t xml:space="preserve">Engine torque limit at gear 3 (% of max engine torque)…………… </t>
  </si>
  <si>
    <t>1.11.3.</t>
  </si>
  <si>
    <t xml:space="preserve">Engine torque limit at gear 2 (% of max engine torque)…………… </t>
  </si>
  <si>
    <t>1.11.2.</t>
  </si>
  <si>
    <t>Engine torque limit at gear 1 (% of max engine torque)……………</t>
  </si>
  <si>
    <t>1.11.1.</t>
  </si>
  <si>
    <t>Engine torque limitations</t>
  </si>
  <si>
    <t>1.11.</t>
  </si>
  <si>
    <t>Other heating technology</t>
  </si>
  <si>
    <t>1.10.5.14.</t>
  </si>
  <si>
    <t>Air electric heater</t>
  </si>
  <si>
    <t>1.10.5.13.</t>
  </si>
  <si>
    <t>Water electric heater</t>
  </si>
  <si>
    <t>1.10.5.12.</t>
  </si>
  <si>
    <t>Separate air distribution ducts (yes/no) ……………….</t>
  </si>
  <si>
    <t>1.10.5.11.</t>
  </si>
  <si>
    <t>Engine waste gas heat exchanger (yes/no)……………….</t>
  </si>
  <si>
    <t>1.10.5.10.</t>
  </si>
  <si>
    <t>Adjustable auxiliary heater………</t>
  </si>
  <si>
    <t>1.10.5.9.</t>
  </si>
  <si>
    <t>Adjustable coolant thermostat (yes/no)……………….</t>
  </si>
  <si>
    <t>1.10.5.8.</t>
  </si>
  <si>
    <r>
      <t>Double gla</t>
    </r>
    <r>
      <rPr>
        <strike/>
        <sz val="11"/>
        <color rgb="FFFF0000"/>
        <rFont val="Calibri"/>
        <family val="2"/>
        <scheme val="minor"/>
      </rPr>
      <t>s</t>
    </r>
    <r>
      <rPr>
        <sz val="11"/>
        <color rgb="FFFF0000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ing (yes/no) ……………….</t>
    </r>
  </si>
  <si>
    <t>1.10.5.7.</t>
  </si>
  <si>
    <t>1.10.5.6.</t>
  </si>
  <si>
    <t>Heat pump type heating passenger compartment ……</t>
  </si>
  <si>
    <r>
      <rPr>
        <strike/>
        <sz val="11"/>
        <color rgb="FFFF0000"/>
        <rFont val="Calibri"/>
        <family val="2"/>
        <scheme val="minor"/>
      </rPr>
      <t>Heat pump mode passenger compartment ……</t>
    </r>
    <r>
      <rPr>
        <sz val="11"/>
        <color rgb="FFFF0000"/>
        <rFont val="Calibri"/>
        <family val="2"/>
        <scheme val="minor"/>
      </rPr>
      <t xml:space="preserve">
Heat pump mode passenger compartment heating</t>
    </r>
  </si>
  <si>
    <t>1.10.5.5.</t>
  </si>
  <si>
    <t>Heat pump type cooling passenger compartment ……</t>
  </si>
  <si>
    <r>
      <rPr>
        <strike/>
        <sz val="11"/>
        <color rgb="FFFF0000"/>
        <rFont val="Calibri"/>
        <family val="2"/>
        <scheme val="minor"/>
      </rPr>
      <t>Heat pump type passenger compartment ……</t>
    </r>
    <r>
      <rPr>
        <sz val="11"/>
        <color rgb="FFFF0000"/>
        <rFont val="Calibri"/>
        <family val="2"/>
        <scheme val="minor"/>
      </rPr>
      <t xml:space="preserve">
Heat pump type passenger compartment cooling…..</t>
    </r>
  </si>
  <si>
    <t>1.10.5.4.</t>
  </si>
  <si>
    <t>Heat pump type heating cooling driver compartment …..</t>
  </si>
  <si>
    <r>
      <rPr>
        <strike/>
        <sz val="11"/>
        <color rgb="FFFF0000"/>
        <rFont val="Calibri"/>
        <family val="2"/>
        <scheme val="minor"/>
      </rPr>
      <t>Heat pump mode driver compartment …..</t>
    </r>
    <r>
      <rPr>
        <sz val="11"/>
        <color rgb="FFFF0000"/>
        <rFont val="Calibri"/>
        <family val="2"/>
        <scheme val="minor"/>
      </rPr>
      <t xml:space="preserve">
Heat pump type driver compartment heating</t>
    </r>
  </si>
  <si>
    <t>1.10.5.3.</t>
  </si>
  <si>
    <t>Heat pump type cooling driver compartment …..</t>
  </si>
  <si>
    <r>
      <rPr>
        <strike/>
        <sz val="11"/>
        <color rgb="FFFF0000"/>
        <rFont val="Calibri"/>
        <family val="2"/>
        <scheme val="minor"/>
      </rPr>
      <t>Heat pump type driver compartment …..</t>
    </r>
    <r>
      <rPr>
        <sz val="11"/>
        <color rgb="FFFF0000"/>
        <rFont val="Calibri"/>
        <family val="2"/>
        <scheme val="minor"/>
      </rPr>
      <t xml:space="preserve">
Heat pump type driver compartment cooling…..</t>
    </r>
  </si>
  <si>
    <t>1.10.5.2.</t>
  </si>
  <si>
    <t>System configuration number…………………..</t>
  </si>
  <si>
    <t>1.10.5.1.</t>
  </si>
  <si>
    <t xml:space="preserve">HVAC system </t>
  </si>
  <si>
    <t>1.10.5.</t>
  </si>
  <si>
    <t>Reagent dosing (exhaust after-treatment) ……………….</t>
  </si>
  <si>
    <t>1.10.4.6.</t>
  </si>
  <si>
    <t>Air suspension control ……………….</t>
  </si>
  <si>
    <t>1.10.4.5.</t>
  </si>
  <si>
    <t>1.10.4.4.</t>
  </si>
  <si>
    <t>1.10.4.3.</t>
  </si>
  <si>
    <t>Compressor ratio ……………….</t>
  </si>
  <si>
    <t>1.10.4.2.</t>
  </si>
  <si>
    <t>Technology ……………….</t>
  </si>
  <si>
    <t>1.10.4.1.</t>
  </si>
  <si>
    <t xml:space="preserve">Pneumatic system </t>
  </si>
  <si>
    <t>1.10.4.</t>
  </si>
  <si>
    <t>Interior lights LED (yes/no)……………</t>
  </si>
  <si>
    <t>1.10.3.8.</t>
  </si>
  <si>
    <t>Brake lights LED (yes/no)……………</t>
  </si>
  <si>
    <t>1.10.3.7.</t>
  </si>
  <si>
    <t>Position lights LED (yes/no)……………</t>
  </si>
  <si>
    <t>1.10.3.6.</t>
  </si>
  <si>
    <t>Head lights LED (yes/no)……………</t>
  </si>
  <si>
    <t>1.10.3.5.</t>
  </si>
  <si>
    <t>Day running lights LED (yes/no)……………</t>
  </si>
  <si>
    <t>1.10.3.4.</t>
  </si>
  <si>
    <t>1.10.3.3.</t>
  </si>
  <si>
    <t>1.10.3.2.</t>
  </si>
  <si>
    <t>1.10.3.1.</t>
  </si>
  <si>
    <t xml:space="preserve">Electric system </t>
  </si>
  <si>
    <t>1.10.3.</t>
  </si>
  <si>
    <t>1.10.2.</t>
  </si>
  <si>
    <t>Engine cooling fan technology……………</t>
  </si>
  <si>
    <t>1.10.1.</t>
  </si>
  <si>
    <t>Auxiliary specifications</t>
  </si>
  <si>
    <t>1.10.</t>
  </si>
  <si>
    <t>Hash of the tyre input data and input information axle 4………………</t>
  </si>
  <si>
    <t>1.9.16.</t>
  </si>
  <si>
    <t>Specific RRC of all tyres on axle 4 ……..</t>
  </si>
  <si>
    <t>1.9.15.</t>
  </si>
  <si>
    <t>Tyre certification number axle 4…………………….</t>
  </si>
  <si>
    <t>1.9.14.</t>
  </si>
  <si>
    <t>Twin axle (yes/no) axle 4..…………………</t>
  </si>
  <si>
    <t>1.9.13.</t>
  </si>
  <si>
    <t>Tyre dimension axle 4..……………….</t>
  </si>
  <si>
    <t>1.9.12.</t>
  </si>
  <si>
    <t>Hash of the tyre input data and input information axle 3………………</t>
  </si>
  <si>
    <t>1.9.11a.</t>
  </si>
  <si>
    <t>Specific RRC of all tyres on axle 3……..</t>
  </si>
  <si>
    <t>1.9.11.</t>
  </si>
  <si>
    <t>Tyre certification number axle 3…………………</t>
  </si>
  <si>
    <t>1.9.10.</t>
  </si>
  <si>
    <t>Twin axle (yes/no) axle 3………………</t>
  </si>
  <si>
    <t>1.9.9.</t>
  </si>
  <si>
    <t>Tyre dimension axle 3………………</t>
  </si>
  <si>
    <t>1.9.8.</t>
  </si>
  <si>
    <t>Hash of the tyre input data and input information axle 2………………</t>
  </si>
  <si>
    <t>1.9.7a.</t>
  </si>
  <si>
    <t>Specific RRC of all tyres on axle 2……..</t>
  </si>
  <si>
    <t>1.9.7.</t>
  </si>
  <si>
    <t>Tyre certification number axle 2…………….</t>
  </si>
  <si>
    <t>1.9.6.</t>
  </si>
  <si>
    <t>Twin axle (yes/no) axle 2……………..</t>
  </si>
  <si>
    <t>1.9.5.</t>
  </si>
  <si>
    <t>Tyre dimension axle 2……………</t>
  </si>
  <si>
    <t>1.9.4.</t>
  </si>
  <si>
    <t>Hash of the tyre input data and input information axle 1………………</t>
  </si>
  <si>
    <t>1.9.3a.</t>
  </si>
  <si>
    <t>Specific RRC of all tyres on axle 1……..</t>
  </si>
  <si>
    <t>1.9.3.</t>
  </si>
  <si>
    <t>Tyre certification number axle 1…………….</t>
  </si>
  <si>
    <t>1.9.2.</t>
  </si>
  <si>
    <t>Tyre dimension axle 1…………..</t>
  </si>
  <si>
    <t>1.9.1.</t>
  </si>
  <si>
    <t>only for available axles</t>
  </si>
  <si>
    <t>Main tyre specifications</t>
  </si>
  <si>
    <t>1.9.</t>
  </si>
  <si>
    <t>Hash of the air drag input data and input information………………</t>
  </si>
  <si>
    <t>1.8.5.</t>
  </si>
  <si>
    <t>CdxA value………………</t>
  </si>
  <si>
    <t>1.8.4.</t>
  </si>
  <si>
    <t>CdxA Certification number (if applicable)………….</t>
  </si>
  <si>
    <t>1.8.3.</t>
  </si>
  <si>
    <t>Certification option used for generation of CdxA (standard values /measurement)…</t>
  </si>
  <si>
    <t>1.8.2.</t>
  </si>
  <si>
    <t>Model ………………</t>
  </si>
  <si>
    <t>1.8.1.</t>
  </si>
  <si>
    <t>only if available</t>
  </si>
  <si>
    <t>Aerodynamics</t>
  </si>
  <si>
    <t>1.8.</t>
  </si>
  <si>
    <t>Hash of the axle input data and input information………………</t>
  </si>
  <si>
    <t>1.7.6.</t>
  </si>
  <si>
    <t>Axle ratio……………</t>
  </si>
  <si>
    <t>1.7.5.</t>
  </si>
  <si>
    <t>Axle type (e.g. single reduction axle)……………….</t>
  </si>
  <si>
    <t>1.7.4.</t>
  </si>
  <si>
    <t>Certification option used for generation of a loss map (standard values/measurement)……………</t>
  </si>
  <si>
    <t>1.7.3.</t>
  </si>
  <si>
    <t>Axle certification number…..</t>
  </si>
  <si>
    <t>1.7.2.</t>
  </si>
  <si>
    <t>Axle model….</t>
  </si>
  <si>
    <t>1.7.1.</t>
  </si>
  <si>
    <t>Axle specifications</t>
  </si>
  <si>
    <t>1.7.</t>
  </si>
  <si>
    <t>1.6.5.</t>
  </si>
  <si>
    <t>Angle drive ratio……………..</t>
  </si>
  <si>
    <t>1.6.4.</t>
  </si>
  <si>
    <t>Certification option used for generation of a loss map (standard values/measurement)……………..</t>
  </si>
  <si>
    <t>1.6.3.</t>
  </si>
  <si>
    <t>Angle drive certification number……………..</t>
  </si>
  <si>
    <t>1.6.2.</t>
  </si>
  <si>
    <t>Angle drive model ……….</t>
  </si>
  <si>
    <t>1.6.1.</t>
  </si>
  <si>
    <t xml:space="preserve">Angle drive specifications </t>
  </si>
  <si>
    <t>1.6.</t>
  </si>
  <si>
    <t>Hash of the torque converter input data and input information………</t>
  </si>
  <si>
    <t>1.5.4.</t>
  </si>
  <si>
    <t>Certification option used for generation of a loss map (standard values/measurement)………………</t>
  </si>
  <si>
    <t>1.5.3.</t>
  </si>
  <si>
    <t>Torque converter certification number……………..</t>
  </si>
  <si>
    <t>1.5.2.</t>
  </si>
  <si>
    <t>Torque converter model…………….</t>
  </si>
  <si>
    <t>1.5.1.</t>
  </si>
  <si>
    <t>only with APT-S/P transmission</t>
  </si>
  <si>
    <t>Torque converter specification</t>
  </si>
  <si>
    <t>1.5.</t>
  </si>
  <si>
    <t>Retarder type…………….</t>
  </si>
  <si>
    <t>Hash of the other torque transferring components input data and input information…………….</t>
  </si>
  <si>
    <t>1.4.4.</t>
  </si>
  <si>
    <t>1.4.3.</t>
  </si>
  <si>
    <t>Retarder certification number……………….</t>
  </si>
  <si>
    <t>1.4.2.</t>
  </si>
  <si>
    <t>Retarder model…………….</t>
  </si>
  <si>
    <t>1.4.1.</t>
  </si>
  <si>
    <t>only if retarder is available</t>
  </si>
  <si>
    <t>Retarder specifications</t>
  </si>
  <si>
    <t>1.4.</t>
  </si>
  <si>
    <t>Hash of the transmission input data and input information……………….</t>
  </si>
  <si>
    <t>1.3.9.</t>
  </si>
  <si>
    <t>Power take off (yes/no)………………</t>
  </si>
  <si>
    <t>1.3.8.</t>
  </si>
  <si>
    <t>Moved to Retarder component as not all vehicle architectures have a transmission</t>
  </si>
  <si>
    <t>1.3.7.</t>
  </si>
  <si>
    <t>Transmission ratio final gear……………….</t>
  </si>
  <si>
    <t>1.3.6.</t>
  </si>
  <si>
    <r>
      <t>No</t>
    </r>
    <r>
      <rPr>
        <sz val="11"/>
        <rFont val="Calibri"/>
        <family val="2"/>
        <scheme val="minor"/>
      </rPr>
      <t>. of gears……………..</t>
    </r>
  </si>
  <si>
    <t>1.3.5.</t>
  </si>
  <si>
    <t>Transmission type (SMT, AMT, APT-S,APT-P, APT-N)…………………</t>
  </si>
  <si>
    <t>Main option used for generation of loss maps (Option1/Option2/Option3/Standard values)…………..:</t>
  </si>
  <si>
    <t>Transmission certification number…………….</t>
  </si>
  <si>
    <t>Transmission model…………….</t>
  </si>
  <si>
    <t>Main transmission specifications</t>
  </si>
  <si>
    <t>only in case WHR system = true</t>
  </si>
  <si>
    <t>Waste heat recovery system type(s) (mechanical/electrical) ………..</t>
  </si>
  <si>
    <t>1.2.10.</t>
  </si>
  <si>
    <t>Waste heat recovery system (yes/no) ………..</t>
  </si>
  <si>
    <t>Hash of the engine input data and input information…………….</t>
  </si>
  <si>
    <t>1.2.7.1</t>
  </si>
  <si>
    <t>Fuel type (Diesel CI/CNG PI/LNG PI...)………….</t>
  </si>
  <si>
    <t>Engine capacity (ltr)…………….</t>
  </si>
  <si>
    <t>Engine rated speed (1/min)………….</t>
  </si>
  <si>
    <t>Engine idling speed (1/min)………..</t>
  </si>
  <si>
    <t>Engine rated power (kW)…………….</t>
  </si>
  <si>
    <t>Engine certification number………….</t>
  </si>
  <si>
    <t>Engine model………….</t>
  </si>
  <si>
    <t>Main engine specifications</t>
  </si>
  <si>
    <t xml:space="preserve">SumNetPower (only for Article 9 exempted) </t>
  </si>
  <si>
    <t>1.1.30.</t>
  </si>
  <si>
    <t>Tank system in case of natural gas (compressed, liquified) ……….’;</t>
  </si>
  <si>
    <t>1.1.29.</t>
  </si>
  <si>
    <t>Door drive technology (pneu, elec, mixed)……….</t>
  </si>
  <si>
    <t xml:space="preserve">1.1.28. </t>
  </si>
  <si>
    <t>Vehicle width (mm)……….</t>
  </si>
  <si>
    <t>1.1.27.</t>
  </si>
  <si>
    <t>Vehicle length (mm)……….</t>
  </si>
  <si>
    <t>1.1.26.</t>
  </si>
  <si>
    <t>Height integrated body (mm)……….</t>
  </si>
  <si>
    <t>1.1.25.</t>
  </si>
  <si>
    <t>Low Entry (yes/no)……….</t>
  </si>
  <si>
    <t>1.1.24.</t>
  </si>
  <si>
    <t>Code for bodywork (e.g. CA, CB)……….</t>
  </si>
  <si>
    <t>1.1.23.</t>
  </si>
  <si>
    <t>sum standing + sitting</t>
  </si>
  <si>
    <t>Number passengers lower deck……….</t>
  </si>
  <si>
    <t>1.1.22.</t>
  </si>
  <si>
    <t>Number passengers upper deck……….</t>
  </si>
  <si>
    <t>Class of bus (e.g. I, I+II etc.)……….</t>
  </si>
  <si>
    <t>Vehicle technology exempted acc. Article 9  ….</t>
  </si>
  <si>
    <t>Off-vehicle charging type (e.g. plug-in AC, plug-in DC) ….</t>
  </si>
  <si>
    <t>Sleeper cab (yes/no)………………………………..</t>
  </si>
  <si>
    <t>1.1.12</t>
  </si>
  <si>
    <t>1.1.11</t>
  </si>
  <si>
    <t>Corrected actual mass (kg)………..</t>
  </si>
  <si>
    <t>if sub-group is not available =&gt; N/A</t>
  </si>
  <si>
    <t xml:space="preserve">(Sub)group for CO2 standards………… </t>
  </si>
  <si>
    <t>1.1.7a.</t>
  </si>
  <si>
    <t>Vehicle group in accordance with Annex I  …………</t>
  </si>
  <si>
    <t>Technical Permissible Maximum Laden Mass (t)………….</t>
  </si>
  <si>
    <t>Axle configuration………..</t>
  </si>
  <si>
    <t>Vehicle identification number (VIN)………..</t>
  </si>
  <si>
    <t>Vehicle model / Commercial Name ………..</t>
  </si>
  <si>
    <t>Name and address of manufacturer (s)………..</t>
  </si>
  <si>
    <t>Exempted Primary Bus</t>
  </si>
  <si>
    <t>PEV Completed Bus</t>
  </si>
  <si>
    <t>HEV Completed Bus</t>
  </si>
  <si>
    <t>PEV-IEPC PrimaryBus</t>
  </si>
  <si>
    <t>PEV-E4 PrimaryBus</t>
  </si>
  <si>
    <t>PEV-E3 PrimaryBus</t>
  </si>
  <si>
    <t>PEV-E2 PrimaryBus</t>
  </si>
  <si>
    <t>HEV-IEPC-S PrimaryBus</t>
  </si>
  <si>
    <t>HEV-S4 PrimaryBus</t>
  </si>
  <si>
    <t>HEV-S3 PrimaryBus</t>
  </si>
  <si>
    <t>HEV-S2 PrimaryBus</t>
  </si>
  <si>
    <t>HEV-Px/IHPC PrimaryBus</t>
  </si>
  <si>
    <t>Conventional PrimaryBus</t>
  </si>
  <si>
    <t>/VectoCustomerInformation/Data/Results/Result/Mission</t>
  </si>
  <si>
    <t>/VectoCustomerInformation/Data/Results/Result/SimulationParameters/Payload</t>
  </si>
  <si>
    <t>/VectoCustomerInformation/Data/Results/Result/SimulationParameters/PassengerCount</t>
  </si>
  <si>
    <t>/VectoCustomerInformation/Data/Results/Result/SimulationParameters/MassPassengers</t>
  </si>
  <si>
    <t>/VectoCustomerInformation/Data/Results/Result/SimulationParameters/TotalVehicleMass</t>
  </si>
  <si>
    <t>/VectoCustomerInformation/Data/Results/Result/Total/AverageSpeed</t>
  </si>
  <si>
    <t>/VectoCustomerInformation/Data/Results/Result/OVCMode[@type='charge depleting']/AverageSpeed</t>
  </si>
  <si>
    <t>/VectoCustomerInformation/Data/Results/Result/OVCMode[@type='charge sustaining']/AverageSpeed</t>
  </si>
  <si>
    <t>/VectoCustomerInformation/Data/Results/Result/Total/ActualChargeDepletingRange</t>
  </si>
  <si>
    <t>/VectoCustomerInformation/Data/Results/Result/Total/EquivalentAllElectricRange</t>
  </si>
  <si>
    <t>/VectoCustomerInformation/Data/Results/Result/Total/ZeroCO2EmissionsRange</t>
  </si>
  <si>
    <t>/VectoCustomerInformation/Data/Results/Result/Total/UtilityFactor</t>
  </si>
  <si>
    <t>/VectoCustomerInformation/Data/Results/Summary/AveragePayload</t>
  </si>
  <si>
    <t>/VectoCustomerInformation/Data/Results/Summary/AveragePassengerCount</t>
  </si>
  <si>
    <t>/VectoCustomerInformation/Data/Results/Summary/ActualChargeDepletingRange</t>
  </si>
  <si>
    <t>/VectoCustomerInformation/Data/Results/Summary/EquivalentAllElectricRange</t>
  </si>
  <si>
    <t>/VectoCustomerInformation/Data/Results/Summary/ZeroCO2EmissionsRange</t>
  </si>
  <si>
    <t>/VectoCustomerInformation/Data/Results/Result/Total/Fuel/FuelConsumption[@attribute()='g/km']</t>
  </si>
  <si>
    <t>/VectoCustomerInformation/Data/Results/Result/Total/Fuel/FuelConsumption[@attribute()='g/t-km']</t>
  </si>
  <si>
    <t>/VectoCustomerInformation/Data/Results/Result/Total/Fuel/FuelConsumption[@attribute()='g/p-km']</t>
  </si>
  <si>
    <t>/VectoCustomerInformation/Data/Results/Result/Total/Fuel/FuelConsumption[@attribute()='g/m³-km']</t>
  </si>
  <si>
    <t>/VectoCustomerInformation/Data/Results/Result/Total/Fuel/FuelConsumption[@attribute()='l/100km']</t>
  </si>
  <si>
    <t>/VectoCustomerInformation/Data/Results/Result/Total/Fuel/FuelConsumption[@attribute()='l/t-km']</t>
  </si>
  <si>
    <t>/VectoCustomerInformation/Data/Results/Result/Total/Fuel/FuelConsumption[@attribute()='l/p-km']</t>
  </si>
  <si>
    <t>/VectoCustomerInformation/Data/Results/Result/Total/Fuel/FuelConsumption[@attribute()='l/m³-km']</t>
  </si>
  <si>
    <t>/VectoCustomerInformation/Data/Results/Result/Total/CO2[@attribute()='MJ/m³-km']</t>
  </si>
  <si>
    <t>/VectoCustomerInformation/Data/Results/Result/Total/CO2[@attribute()='g/km']</t>
  </si>
  <si>
    <t>/VectoCustomerInformation/Data/Results/Result/Total/CO2[@attribute()='g/t-km']</t>
  </si>
  <si>
    <t>/VectoCustomerInformation/Data/Results/Result/Total/CO2[@attribute()='g/p-km']</t>
  </si>
  <si>
    <t>/VectoCustomerInformation/Data/Results/Result/OVCMode[@type='charge depleting'] /VectoCustomerInformation/Data/Results/Result/OVCMode[@type='charge sustaining']</t>
  </si>
  <si>
    <t>/VectoCustomerInformation/Data/Results/Result/Total/Fuel/FuelConsumption[@attribute()='MJ/km'] /VectoCustomerInformation/Data/Results/Result/Total/Fuel/FuelConsumption[@attribute()='kWh/km']</t>
  </si>
  <si>
    <t>/VectoCustomerInformation/Data/Results/Result/Total/Fuel/FuelConsumption[@attribute()='MJ/t-km'] /VectoCustomerInformation/Data/Results/Result/Total/Fuel/FuelConsumption[@attribute()='kWh/t-km']</t>
  </si>
  <si>
    <t>/VectoCustomerInformation/Data/Results/Result/Total/Fuel/FuelConsumption[@attribute()='MJ/p-km'] /VectoCustomerInformation/Data/Results/Result/Total/Fuel/FuelConsumption[@attribute()='kWh/p-km']</t>
  </si>
  <si>
    <t>/VectoCustomerInformation/Data/Results/Result/Total/Fuel/FuelConsumption[@attribute()='MJ/m³-km'] /VectoCustomerInformation/Data/Results/Result/Total/Fuel/FuelConsumption[@attribute()='kWh/m³-km']</t>
  </si>
  <si>
    <t>/VectoCustomerInformation/Data/Vehicle/VIN</t>
  </si>
  <si>
    <t>/VectoCustomerInformation/Data/Vehicle/VehicleCategory</t>
  </si>
  <si>
    <t>/VectoCustomerInformation/Data/Vehicle/AxleConfiguration</t>
  </si>
  <si>
    <t>/VectoCustomerInformation/Data/Vehicle/TechnicalPermissibleMaximumLadenMass</t>
  </si>
  <si>
    <t>/VectoCustomerInformation/Data/Vehicle/VehicleGroup</t>
  </si>
  <si>
    <t>/VectoCustomerInformation/Data/Vehicle/VehicleGroupCO2</t>
  </si>
  <si>
    <t>/VectoCustomerInformation/Data/Vehicle/Manufacturer /VectoCustomerInformation/Data/Vehicle/ManufacturerAddress</t>
  </si>
  <si>
    <t>/VectoCustomerInformation/Data/Vehicle/Model</t>
  </si>
  <si>
    <t>/VectoCustomerInformation/Data/Vehicle/CorrectedActualMass</t>
  </si>
  <si>
    <t>/VectoCustomerInformation/Data/Vehicle/VocationalVehicle</t>
  </si>
  <si>
    <t>/VectoCustomerInformation/Data/Vehicle/ZeroEmissionVehicle</t>
  </si>
  <si>
    <t>/VectoCustomerInformation/Data/Vehicle/HybridElectricHDV</t>
  </si>
  <si>
    <t>/VectoCustomerInformation/Data/Vehicle/DualFuelVehicle</t>
  </si>
  <si>
    <t>/VectoCustomerInformation/Data/Vehicle/WasteHeatRecovery</t>
  </si>
  <si>
    <t>/VectoCustomerInformation/Data/Vehicle/SleeperCab</t>
  </si>
  <si>
    <t>/VectoCustomerInformation/Data/Vehicle/HEVArchitecture</t>
  </si>
  <si>
    <t>/VectoCustomerInformation/Data/Vehicle/PEVArchitecture</t>
  </si>
  <si>
    <t>/VectoCustomerInformation/Data/Vehicle/OffVehicleChargingCapability</t>
  </si>
  <si>
    <t>/VectoCustomerInformation/Data/Vehicle/OffVehicleChargingMaxPower</t>
  </si>
  <si>
    <t>/VectoCustomerInformation/Data/Vehicle/VehicleTechnologyExempted</t>
  </si>
  <si>
    <t>/VectoCustomerInformation/Data/Vehicle/ClassBus</t>
  </si>
  <si>
    <t>/VectoCustomerInformation/Data/Vehicle/TotalNumberOfPassengers</t>
  </si>
  <si>
    <t>/VectoCustomerInformation/Data/Vehicle/EngineRatedPower</t>
  </si>
  <si>
    <t>/VectoCustomerInformation/Data/Vehicle/EngineCapacity</t>
  </si>
  <si>
    <t>/VectoCustomerInformation/Data/Vehicle/FuelTypes</t>
  </si>
  <si>
    <t>/VectoCustomerInformation/Data/Vehicle/TransmissionValues</t>
  </si>
  <si>
    <t>/VectoCustomerInformation/Data/Vehicle/TransmissionType</t>
  </si>
  <si>
    <t>/VectoCustomerInformation/Data/Vehicle/NrOfGears</t>
  </si>
  <si>
    <t>/VectoCustomerInformation/Data/Vehicle/Retarder</t>
  </si>
  <si>
    <t>/VectoCustomerInformation/Data/Vehicle/AxleRatio</t>
  </si>
  <si>
    <t>/VectoCustomerInformation/Data/Vehicle/AverageRRC</t>
  </si>
  <si>
    <t>/VectoCustomerInformation/Data/Vehicle/Axle/TyreDimension</t>
  </si>
  <si>
    <t xml:space="preserve">/VectoCustomerInformation/Data/Vehicle/Axle/FuelEfficiencyClass </t>
  </si>
  <si>
    <t>/VectoCustomerInformation/Data/Vehicle/Axle/TyreCertificationNumber</t>
  </si>
  <si>
    <t>/VectoCustomerInformation/Data/Vehicle/ADAS/EngineStopStart</t>
  </si>
  <si>
    <t>/VectoCustomerInformation/Data/Vehicle/ADAS/EcoRollWithoutEngineStopStart</t>
  </si>
  <si>
    <t>/VectoCustomerInformation/Data/Vehicle/ADAS/EcoRollWithEngineStopStart</t>
  </si>
  <si>
    <t>/VectoCustomerInformation/Data/Vehicle/ADAS/PredictiveCruiseControl</t>
  </si>
  <si>
    <t>/VectoCustomerInformation/Data/Vehicle/TotalRatedPropulsionPower</t>
  </si>
  <si>
    <t>/VectoCustomerInformation/Data/Vehicle/VoltageLevels/VoltageLevel[1]/MaxContinuousPropulsionPower /VectoCustomerInformation/Data/Vehicle/VoltageLevels/VoltageLevel[2]/MaxContinuousPropulsionPower</t>
  </si>
  <si>
    <t>/VectoCustomerInformation/Data/Vehicle/TotalStorageCapacity</t>
  </si>
  <si>
    <t>/VectoCustomerInformation/Data/Vehicle/UsableStorageCapacity</t>
  </si>
  <si>
    <t>/VectoCustomerInformation/Data/Vehicle/SteeringPump/Technology</t>
  </si>
  <si>
    <t>/VectoCustomerInformation/Data/Vehicle/ElectricSystem/AlternatorTechnology</t>
  </si>
  <si>
    <t>/VectoCustomerInformation/Data/Vehicle/PneumaticSystem/SmartCompressionSystem</t>
  </si>
  <si>
    <t>/VectoCustomerInformation/Data/Vehicle/PneumaticSystem/SmartRegenerationSystem</t>
  </si>
  <si>
    <t>/VectoCustomerInformation/Data/Vehicle/HVAC/SystemConfiguration</t>
  </si>
  <si>
    <t>/VectoCustomerInformation/Data/Vehicle/HVAC/AuxiliaryHeaterPower</t>
  </si>
  <si>
    <t>/VectoCustomerInformation/Data/Vehicle/HVAC/DoubleGlazing</t>
  </si>
  <si>
    <t>/VectoCustomerInformation/Data/Results/Result[/SimulationParameters/TotalVehicleMass</t>
  </si>
  <si>
    <t>/VectoCustomerInformation/Data/ApplicationInformation/SimulationToolVersion</t>
  </si>
  <si>
    <t>/VectoCustomerInformation/Data/ApplicationInformation/Date</t>
  </si>
  <si>
    <t>/VectoCustomerInformation/Data/InputDataSignaturePrimaryVehicle</t>
  </si>
  <si>
    <t>/VectoCustomerInformation/Data/ManufacturerRecordSignaturePrimaryVehicle</t>
  </si>
  <si>
    <t>/VectoCustomerInformation/Data/InputDataSignature</t>
  </si>
  <si>
    <t>/VectoCustomerInformation/Data/ManufacturerRecordSignature</t>
  </si>
  <si>
    <t>/VectoCustomerInformation/Signature</t>
  </si>
  <si>
    <t>/VectoCustomerInformation/Data/Vehicle/ElectricSystem/MaxAlternatorPower</t>
  </si>
  <si>
    <t>/VectoCustomerInformation/Data/Vehicle/ElectricSystem/ElectricStorageCapacity</t>
  </si>
  <si>
    <t>CIF_ResultMatrix</t>
  </si>
  <si>
    <t>Sheet</t>
  </si>
  <si>
    <t>Content</t>
  </si>
  <si>
    <t>CIF_ResultMatrix_XPath_Conv</t>
  </si>
  <si>
    <t>CIF_ResultMatrix_XPath_NonOVC</t>
  </si>
  <si>
    <t>CIF_ResultMatrix_XPath OVC</t>
  </si>
  <si>
    <t>CIF_ResultMatrix_XPath_PEV</t>
  </si>
  <si>
    <t>CIF_ResultMatrix_Explanation</t>
  </si>
  <si>
    <t>CIF_Content_per_Architecture</t>
  </si>
  <si>
    <t>MRF_Content_perArchitecture</t>
  </si>
  <si>
    <t xml:space="preserve">Breakdown of the content of the MRF according to Annex IV of Regulation (EU) 2017/2400 with the information which results are written for which vehicle configuration. </t>
  </si>
  <si>
    <t>As above including XPath to all elements for the XML result type "ResultSuccessConventionalType".</t>
  </si>
  <si>
    <t>As above including XPath to all elements for the XML result type "ResultSuccessNonOVCHEVType".</t>
  </si>
  <si>
    <t>As above including XPath to all elements for the XML result type "ResultSuccessOVCHEVType".</t>
  </si>
  <si>
    <t>As above including XPath to all elements for the XML result type "ResultSuccessPEVType".</t>
  </si>
  <si>
    <t xml:space="preserve">Graphical representation of the content of the CIF as a format proposal. Please note the purple headings with the XML result type. </t>
  </si>
  <si>
    <t>As CIF_ResultMatrix plus background information on how the results are generated by VECTO.</t>
  </si>
  <si>
    <t>Breakdown of the content of the CIF according to Annex IV of Regulation (EU) 2017/2400 with the information which results are written for which vehicle configuration. On the far right, the XPath is also given to allow mapping to the XML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</si>
</sst>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9C5700"/>
      <name val="Calibri"/>
      <family val="2"/>
      <scheme val="minor"/>
    </font>
    <font>
      <sz val="6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1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1F7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5" borderId="0" applyNumberFormat="0" applyBorder="0" applyAlignment="0" applyProtection="0"/>
    <xf numFmtId="0" fontId="14" fillId="4" borderId="0" applyNumberFormat="0" applyBorder="0" applyAlignment="0" applyProtection="0"/>
  </cellStyleXfs>
  <cellXfs count="105">
    <xf numFmtId="0" fontId="0" fillId="0" borderId="0" xfId="0"/>
    <xf numFmtId="0" fontId="8" fillId="6" borderId="1" xfId="0" quotePrefix="1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0" fontId="11" fillId="11" borderId="1" xfId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textRotation="75" wrapText="1"/>
    </xf>
    <xf numFmtId="0" fontId="4" fillId="0" borderId="0" xfId="0" applyFont="1" applyFill="1" applyAlignment="1">
      <alignment horizontal="center" textRotation="75" wrapText="1"/>
    </xf>
    <xf numFmtId="0" fontId="0" fillId="12" borderId="0" xfId="0" applyFill="1" applyAlignment="1">
      <alignment horizontal="center"/>
    </xf>
    <xf numFmtId="0" fontId="6" fillId="0" borderId="0" xfId="0" applyFont="1" applyAlignment="1">
      <alignment horizontal="center" textRotation="75" wrapText="1"/>
    </xf>
    <xf numFmtId="0" fontId="6" fillId="0" borderId="0" xfId="0" applyFont="1" applyFill="1" applyAlignment="1">
      <alignment horizontal="center" textRotation="75" wrapText="1"/>
    </xf>
    <xf numFmtId="0" fontId="4" fillId="0" borderId="0" xfId="0" applyFont="1" applyAlignment="1">
      <alignment textRotation="75" wrapText="1"/>
    </xf>
    <xf numFmtId="0" fontId="14" fillId="4" borderId="0" xfId="4" applyAlignment="1">
      <alignment horizontal="left" vertical="top"/>
    </xf>
    <xf numFmtId="0" fontId="14" fillId="4" borderId="0" xfId="4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left" vertical="top"/>
    </xf>
    <xf numFmtId="0" fontId="1" fillId="2" borderId="0" xfId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12" borderId="0" xfId="0" applyFont="1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Font="1"/>
    <xf numFmtId="0" fontId="3" fillId="0" borderId="0" xfId="0" applyFont="1" applyAlignment="1">
      <alignment vertical="top" wrapText="1"/>
    </xf>
    <xf numFmtId="0" fontId="10" fillId="12" borderId="0" xfId="2" applyFont="1" applyFill="1"/>
    <xf numFmtId="0" fontId="2" fillId="12" borderId="0" xfId="2" applyFill="1"/>
    <xf numFmtId="0" fontId="0" fillId="0" borderId="0" xfId="0" applyAlignment="1">
      <alignment vertical="top"/>
    </xf>
    <xf numFmtId="0" fontId="10" fillId="0" borderId="0" xfId="0" applyFont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Fill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wrapText="1"/>
    </xf>
    <xf numFmtId="0" fontId="9" fillId="2" borderId="1" xfId="1" applyFont="1" applyBorder="1" applyAlignment="1">
      <alignment horizontal="center"/>
    </xf>
    <xf numFmtId="0" fontId="0" fillId="0" borderId="0" xfId="0" applyAlignment="1">
      <alignment wrapText="1"/>
    </xf>
    <xf numFmtId="0" fontId="5" fillId="5" borderId="1" xfId="3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9" fillId="0" borderId="0" xfId="0" applyFont="1"/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/>
    </xf>
    <xf numFmtId="0" fontId="19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 vertical="center" wrapText="1"/>
    </xf>
    <xf numFmtId="0" fontId="20" fillId="14" borderId="0" xfId="0" applyFont="1" applyFill="1"/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7" xfId="1" applyBorder="1" applyAlignment="1">
      <alignment vertical="top" wrapText="1"/>
    </xf>
    <xf numFmtId="0" fontId="1" fillId="2" borderId="7" xfId="1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0" fillId="0" borderId="0" xfId="0" quotePrefix="1" applyAlignment="1">
      <alignment vertical="top" wrapText="1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left" vertical="top"/>
    </xf>
    <xf numFmtId="0" fontId="24" fillId="0" borderId="0" xfId="0" applyFont="1"/>
    <xf numFmtId="14" fontId="0" fillId="0" borderId="0" xfId="0" quotePrefix="1" applyNumberFormat="1" applyAlignment="1">
      <alignment horizontal="left" vertical="top"/>
    </xf>
    <xf numFmtId="0" fontId="4" fillId="0" borderId="0" xfId="0" applyFont="1" applyFill="1" applyAlignment="1">
      <alignment textRotation="75" wrapText="1"/>
    </xf>
    <xf numFmtId="0" fontId="4" fillId="6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right"/>
    </xf>
    <xf numFmtId="0" fontId="8" fillId="6" borderId="1" xfId="0" quotePrefix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19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4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10" fillId="13" borderId="1" xfId="0" quotePrefix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0" fillId="13" borderId="6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/>
    </xf>
    <xf numFmtId="0" fontId="10" fillId="13" borderId="1" xfId="0" quotePrefix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6" borderId="1" xfId="0" applyFont="1" applyFill="1" applyBorder="1"/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5">
    <cellStyle name="Akzent1" xfId="3" builtinId="29"/>
    <cellStyle name="Gut" xfId="1" builtinId="26"/>
    <cellStyle name="Neutral 2" xfId="4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tabSelected="1" zoomScale="115" zoomScaleNormal="115" workbookViewId="0">
      <selection activeCell="C10" sqref="C10"/>
    </sheetView>
  </sheetViews>
  <sheetFormatPr baseColWidth="10" defaultRowHeight="15" x14ac:dyDescent="0.25"/>
  <cols>
    <col min="1" max="1" width="2.7109375" customWidth="1"/>
    <col min="2" max="2" width="36.140625" customWidth="1"/>
    <col min="3" max="3" width="148.140625" customWidth="1"/>
  </cols>
  <sheetData>
    <row r="2" spans="2:3" x14ac:dyDescent="0.25">
      <c r="B2" s="102" t="s">
        <v>809</v>
      </c>
      <c r="C2" s="102" t="s">
        <v>810</v>
      </c>
    </row>
    <row r="3" spans="2:3" ht="30" customHeight="1" x14ac:dyDescent="0.25">
      <c r="B3" s="103" t="s">
        <v>808</v>
      </c>
      <c r="C3" s="104" t="s">
        <v>823</v>
      </c>
    </row>
    <row r="4" spans="2:3" ht="30" customHeight="1" x14ac:dyDescent="0.25">
      <c r="B4" s="103" t="s">
        <v>811</v>
      </c>
      <c r="C4" s="104" t="s">
        <v>819</v>
      </c>
    </row>
    <row r="5" spans="2:3" ht="30" customHeight="1" x14ac:dyDescent="0.25">
      <c r="B5" s="103" t="s">
        <v>812</v>
      </c>
      <c r="C5" s="104" t="s">
        <v>820</v>
      </c>
    </row>
    <row r="6" spans="2:3" ht="30" customHeight="1" x14ac:dyDescent="0.25">
      <c r="B6" s="103" t="s">
        <v>813</v>
      </c>
      <c r="C6" s="104" t="s">
        <v>821</v>
      </c>
    </row>
    <row r="7" spans="2:3" ht="30" customHeight="1" x14ac:dyDescent="0.25">
      <c r="B7" s="103" t="s">
        <v>814</v>
      </c>
      <c r="C7" s="104" t="s">
        <v>822</v>
      </c>
    </row>
    <row r="8" spans="2:3" ht="30" customHeight="1" x14ac:dyDescent="0.25">
      <c r="B8" s="103" t="s">
        <v>815</v>
      </c>
      <c r="C8" s="104" t="s">
        <v>824</v>
      </c>
    </row>
    <row r="9" spans="2:3" ht="30" customHeight="1" x14ac:dyDescent="0.25">
      <c r="B9" s="103" t="s">
        <v>816</v>
      </c>
      <c r="C9" s="104" t="s">
        <v>825</v>
      </c>
    </row>
    <row r="10" spans="2:3" ht="30" customHeight="1" x14ac:dyDescent="0.25">
      <c r="B10" s="103" t="s">
        <v>817</v>
      </c>
      <c r="C10" s="104" t="s">
        <v>818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103"/>
  <sheetViews>
    <sheetView workbookViewId="0">
      <selection activeCell="V13" sqref="V13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1.7109375" customWidth="1"/>
    <col min="6" max="11" width="10.7109375" customWidth="1"/>
    <col min="12" max="12" width="2.7109375" customWidth="1"/>
    <col min="13" max="13" width="40.7109375" customWidth="1"/>
    <col min="15" max="20" width="10.7109375" customWidth="1"/>
    <col min="21" max="21" width="2.7109375" customWidth="1"/>
    <col min="22" max="22" width="40.7109375" customWidth="1"/>
    <col min="24" max="29" width="10.7109375" customWidth="1"/>
    <col min="30" max="30" width="2.7109375" customWidth="1"/>
  </cols>
  <sheetData>
    <row r="2" spans="2:29" s="55" customFormat="1" ht="15.75" x14ac:dyDescent="0.25">
      <c r="B2" s="54" t="s">
        <v>316</v>
      </c>
      <c r="C2" s="54"/>
    </row>
    <row r="3" spans="2:29" ht="15.75" x14ac:dyDescent="0.25">
      <c r="B3" s="49"/>
      <c r="C3" s="49"/>
    </row>
    <row r="4" spans="2:29" x14ac:dyDescent="0.25">
      <c r="C4" s="53" t="s">
        <v>11</v>
      </c>
      <c r="D4" t="s">
        <v>324</v>
      </c>
    </row>
    <row r="5" spans="2:29" x14ac:dyDescent="0.25">
      <c r="C5" s="1" t="s">
        <v>9</v>
      </c>
      <c r="D5" t="s">
        <v>323</v>
      </c>
    </row>
    <row r="11" spans="2:29" s="55" customFormat="1" ht="15.75" x14ac:dyDescent="0.25">
      <c r="B11" s="54" t="s">
        <v>327</v>
      </c>
      <c r="C11" s="54"/>
    </row>
    <row r="13" spans="2:29" ht="16.5" x14ac:dyDescent="0.3">
      <c r="C13" s="57" t="s">
        <v>273</v>
      </c>
      <c r="D13" s="58"/>
      <c r="E13" s="58"/>
      <c r="F13" s="58"/>
      <c r="G13" s="58"/>
      <c r="H13" s="58"/>
      <c r="I13" s="58"/>
      <c r="J13" s="58"/>
      <c r="K13" s="58"/>
      <c r="M13" s="57" t="s">
        <v>275</v>
      </c>
      <c r="N13" s="58"/>
      <c r="O13" s="58"/>
      <c r="P13" s="58"/>
      <c r="Q13" s="58"/>
      <c r="R13" s="58"/>
      <c r="S13" s="58"/>
      <c r="T13" s="58"/>
      <c r="V13" s="57" t="s">
        <v>276</v>
      </c>
      <c r="W13" s="58"/>
      <c r="X13" s="58"/>
      <c r="Y13" s="58"/>
      <c r="Z13" s="58"/>
      <c r="AA13" s="58"/>
      <c r="AB13" s="58"/>
      <c r="AC13" s="58"/>
    </row>
    <row r="14" spans="2:29" ht="16.5" x14ac:dyDescent="0.3">
      <c r="C14" s="57" t="s">
        <v>274</v>
      </c>
      <c r="D14" s="58"/>
      <c r="E14" s="58"/>
      <c r="F14" s="58"/>
      <c r="G14" s="58"/>
      <c r="H14" s="58"/>
      <c r="I14" s="58"/>
      <c r="J14" s="58"/>
      <c r="K14" s="58"/>
    </row>
    <row r="15" spans="2:29" ht="15.75" x14ac:dyDescent="0.25">
      <c r="C15" s="49"/>
    </row>
    <row r="16" spans="2:29" x14ac:dyDescent="0.25">
      <c r="D16" s="93" t="s">
        <v>0</v>
      </c>
      <c r="E16" s="93"/>
      <c r="F16" s="92" t="s">
        <v>11</v>
      </c>
      <c r="G16" s="92"/>
      <c r="H16" s="92"/>
      <c r="I16" s="92"/>
      <c r="J16" s="92"/>
      <c r="K16" s="92"/>
      <c r="M16" s="93" t="s">
        <v>0</v>
      </c>
      <c r="N16" s="93"/>
      <c r="O16" s="92" t="s">
        <v>11</v>
      </c>
      <c r="P16" s="92"/>
      <c r="Q16" s="92"/>
      <c r="R16" s="92"/>
      <c r="S16" s="92"/>
      <c r="T16" s="92"/>
      <c r="V16" s="93" t="s">
        <v>0</v>
      </c>
      <c r="W16" s="93"/>
      <c r="X16" s="92" t="s">
        <v>11</v>
      </c>
      <c r="Y16" s="92"/>
      <c r="Z16" s="92"/>
      <c r="AA16" s="92"/>
      <c r="AB16" s="92"/>
      <c r="AC16" s="92"/>
    </row>
    <row r="17" spans="4:29" x14ac:dyDescent="0.25">
      <c r="D17" s="87" t="s">
        <v>1</v>
      </c>
      <c r="E17" s="42" t="s">
        <v>283</v>
      </c>
      <c r="F17" s="98" t="s">
        <v>8</v>
      </c>
      <c r="G17" s="99"/>
      <c r="H17" s="100"/>
      <c r="I17" s="98" t="s">
        <v>302</v>
      </c>
      <c r="J17" s="99"/>
      <c r="K17" s="100"/>
      <c r="M17" s="87" t="s">
        <v>1</v>
      </c>
      <c r="N17" s="42" t="s">
        <v>283</v>
      </c>
      <c r="O17" s="98" t="s">
        <v>8</v>
      </c>
      <c r="P17" s="99"/>
      <c r="Q17" s="100"/>
      <c r="R17" s="98" t="s">
        <v>302</v>
      </c>
      <c r="S17" s="99"/>
      <c r="T17" s="100"/>
      <c r="V17" s="87" t="s">
        <v>1</v>
      </c>
      <c r="W17" s="42" t="s">
        <v>283</v>
      </c>
      <c r="X17" s="98" t="s">
        <v>8</v>
      </c>
      <c r="Y17" s="99"/>
      <c r="Z17" s="100"/>
      <c r="AA17" s="98" t="s">
        <v>302</v>
      </c>
      <c r="AB17" s="99"/>
      <c r="AC17" s="100"/>
    </row>
    <row r="18" spans="4:29" x14ac:dyDescent="0.25">
      <c r="D18" s="88"/>
      <c r="E18" s="42" t="s">
        <v>282</v>
      </c>
      <c r="F18" s="86" t="s">
        <v>11</v>
      </c>
      <c r="G18" s="86"/>
      <c r="H18" s="86"/>
      <c r="I18" s="86" t="s">
        <v>11</v>
      </c>
      <c r="J18" s="86"/>
      <c r="K18" s="86"/>
      <c r="L18" s="21"/>
      <c r="M18" s="88"/>
      <c r="N18" s="42" t="s">
        <v>282</v>
      </c>
      <c r="O18" s="86" t="s">
        <v>11</v>
      </c>
      <c r="P18" s="86"/>
      <c r="Q18" s="86"/>
      <c r="R18" s="86" t="s">
        <v>11</v>
      </c>
      <c r="S18" s="86"/>
      <c r="T18" s="86"/>
      <c r="V18" s="88"/>
      <c r="W18" s="42" t="s">
        <v>282</v>
      </c>
      <c r="X18" s="86" t="s">
        <v>11</v>
      </c>
      <c r="Y18" s="86"/>
      <c r="Z18" s="86"/>
      <c r="AA18" s="86" t="s">
        <v>11</v>
      </c>
      <c r="AB18" s="86"/>
      <c r="AC18" s="86"/>
    </row>
    <row r="19" spans="4:29" x14ac:dyDescent="0.25">
      <c r="D19" s="47" t="s">
        <v>277</v>
      </c>
      <c r="E19" s="42" t="s">
        <v>283</v>
      </c>
      <c r="F19" s="86" t="s">
        <v>11</v>
      </c>
      <c r="G19" s="86"/>
      <c r="H19" s="86"/>
      <c r="I19" s="86" t="s">
        <v>11</v>
      </c>
      <c r="J19" s="86"/>
      <c r="K19" s="86"/>
      <c r="L19" s="21"/>
      <c r="M19" s="47" t="s">
        <v>277</v>
      </c>
      <c r="N19" s="42" t="s">
        <v>283</v>
      </c>
      <c r="O19" s="86" t="s">
        <v>11</v>
      </c>
      <c r="P19" s="86"/>
      <c r="Q19" s="86"/>
      <c r="R19" s="86" t="s">
        <v>11</v>
      </c>
      <c r="S19" s="86"/>
      <c r="T19" s="86"/>
      <c r="V19" s="47" t="s">
        <v>277</v>
      </c>
      <c r="W19" s="42" t="s">
        <v>283</v>
      </c>
      <c r="X19" s="86" t="s">
        <v>11</v>
      </c>
      <c r="Y19" s="86"/>
      <c r="Z19" s="86"/>
      <c r="AA19" s="86" t="s">
        <v>11</v>
      </c>
      <c r="AB19" s="86"/>
      <c r="AC19" s="86"/>
    </row>
    <row r="20" spans="4:29" x14ac:dyDescent="0.25">
      <c r="D20" s="47" t="s">
        <v>278</v>
      </c>
      <c r="E20" s="42" t="s">
        <v>282</v>
      </c>
      <c r="F20" s="86" t="s">
        <v>11</v>
      </c>
      <c r="G20" s="86"/>
      <c r="H20" s="86"/>
      <c r="I20" s="86" t="s">
        <v>11</v>
      </c>
      <c r="J20" s="86"/>
      <c r="K20" s="86"/>
      <c r="L20" s="21"/>
      <c r="M20" s="47" t="s">
        <v>278</v>
      </c>
      <c r="N20" s="42" t="s">
        <v>282</v>
      </c>
      <c r="O20" s="86" t="s">
        <v>11</v>
      </c>
      <c r="P20" s="86"/>
      <c r="Q20" s="86"/>
      <c r="R20" s="86" t="s">
        <v>11</v>
      </c>
      <c r="S20" s="86"/>
      <c r="T20" s="86"/>
      <c r="V20" s="47" t="s">
        <v>278</v>
      </c>
      <c r="W20" s="42" t="s">
        <v>282</v>
      </c>
      <c r="X20" s="86" t="s">
        <v>11</v>
      </c>
      <c r="Y20" s="86"/>
      <c r="Z20" s="86"/>
      <c r="AA20" s="86" t="s">
        <v>11</v>
      </c>
      <c r="AB20" s="86"/>
      <c r="AC20" s="86"/>
    </row>
    <row r="21" spans="4:29" x14ac:dyDescent="0.25">
      <c r="D21" s="47" t="s">
        <v>279</v>
      </c>
      <c r="E21" s="42" t="s">
        <v>282</v>
      </c>
      <c r="F21" s="86" t="s">
        <v>11</v>
      </c>
      <c r="G21" s="86"/>
      <c r="H21" s="86"/>
      <c r="I21" s="86" t="s">
        <v>11</v>
      </c>
      <c r="J21" s="86"/>
      <c r="K21" s="86"/>
      <c r="L21" s="21"/>
      <c r="M21" s="47" t="s">
        <v>279</v>
      </c>
      <c r="N21" s="42" t="s">
        <v>282</v>
      </c>
      <c r="O21" s="86" t="s">
        <v>11</v>
      </c>
      <c r="P21" s="86"/>
      <c r="Q21" s="86"/>
      <c r="R21" s="86" t="s">
        <v>11</v>
      </c>
      <c r="S21" s="86"/>
      <c r="T21" s="86"/>
      <c r="V21" s="47" t="s">
        <v>279</v>
      </c>
      <c r="W21" s="42" t="s">
        <v>282</v>
      </c>
      <c r="X21" s="86" t="s">
        <v>11</v>
      </c>
      <c r="Y21" s="86"/>
      <c r="Z21" s="86"/>
      <c r="AA21" s="86" t="s">
        <v>11</v>
      </c>
      <c r="AB21" s="86"/>
      <c r="AC21" s="86"/>
    </row>
    <row r="22" spans="4:29" s="45" customFormat="1" ht="45" x14ac:dyDescent="0.25">
      <c r="D22" s="85" t="s">
        <v>2</v>
      </c>
      <c r="E22" s="85"/>
      <c r="F22" s="50" t="s">
        <v>317</v>
      </c>
      <c r="G22" s="51" t="s">
        <v>318</v>
      </c>
      <c r="H22" s="52" t="s">
        <v>10</v>
      </c>
      <c r="I22" s="50" t="s">
        <v>317</v>
      </c>
      <c r="J22" s="51" t="s">
        <v>318</v>
      </c>
      <c r="K22" s="52" t="s">
        <v>10</v>
      </c>
      <c r="L22" s="21"/>
      <c r="M22" s="85" t="s">
        <v>2</v>
      </c>
      <c r="N22" s="85"/>
      <c r="O22" s="50" t="s">
        <v>317</v>
      </c>
      <c r="P22" s="51" t="s">
        <v>318</v>
      </c>
      <c r="Q22" s="52" t="s">
        <v>10</v>
      </c>
      <c r="R22" s="50" t="s">
        <v>317</v>
      </c>
      <c r="S22" s="51" t="s">
        <v>318</v>
      </c>
      <c r="T22" s="52" t="s">
        <v>10</v>
      </c>
      <c r="V22" s="85" t="s">
        <v>2</v>
      </c>
      <c r="W22" s="85"/>
      <c r="X22" s="50" t="s">
        <v>317</v>
      </c>
      <c r="Y22" s="51" t="s">
        <v>318</v>
      </c>
      <c r="Z22" s="52" t="s">
        <v>10</v>
      </c>
      <c r="AA22" s="50" t="s">
        <v>317</v>
      </c>
      <c r="AB22" s="51" t="s">
        <v>318</v>
      </c>
      <c r="AC22" s="52" t="s">
        <v>10</v>
      </c>
    </row>
    <row r="23" spans="4:29" x14ac:dyDescent="0.25">
      <c r="D23" s="47" t="s">
        <v>280</v>
      </c>
      <c r="E23" s="42" t="s">
        <v>284</v>
      </c>
      <c r="F23" s="1" t="s">
        <v>9</v>
      </c>
      <c r="G23" s="2" t="s">
        <v>9</v>
      </c>
      <c r="H23" s="53" t="s">
        <v>11</v>
      </c>
      <c r="I23" s="1" t="s">
        <v>9</v>
      </c>
      <c r="J23" s="1" t="s">
        <v>9</v>
      </c>
      <c r="K23" s="53" t="s">
        <v>11</v>
      </c>
      <c r="L23" s="21"/>
      <c r="M23" s="47" t="s">
        <v>280</v>
      </c>
      <c r="N23" s="42" t="s">
        <v>284</v>
      </c>
      <c r="O23" s="53" t="s">
        <v>11</v>
      </c>
      <c r="P23" s="53" t="s">
        <v>11</v>
      </c>
      <c r="Q23" s="53" t="s">
        <v>11</v>
      </c>
      <c r="R23" s="53" t="s">
        <v>11</v>
      </c>
      <c r="S23" s="53" t="s">
        <v>11</v>
      </c>
      <c r="T23" s="53" t="s">
        <v>11</v>
      </c>
      <c r="V23" s="47" t="s">
        <v>280</v>
      </c>
      <c r="W23" s="42" t="s">
        <v>284</v>
      </c>
      <c r="X23" s="1" t="s">
        <v>9</v>
      </c>
      <c r="Y23" s="1" t="s">
        <v>9</v>
      </c>
      <c r="Z23" s="53" t="s">
        <v>11</v>
      </c>
      <c r="AA23" s="1" t="s">
        <v>9</v>
      </c>
      <c r="AB23" s="1" t="s">
        <v>9</v>
      </c>
      <c r="AC23" s="53" t="s">
        <v>11</v>
      </c>
    </row>
    <row r="24" spans="4:29" x14ac:dyDescent="0.25">
      <c r="D24" s="85" t="s">
        <v>281</v>
      </c>
      <c r="E24" s="42" t="s">
        <v>285</v>
      </c>
      <c r="F24" s="1" t="s">
        <v>9</v>
      </c>
      <c r="G24" s="2" t="s">
        <v>9</v>
      </c>
      <c r="H24" s="53" t="s">
        <v>11</v>
      </c>
      <c r="I24" s="1" t="s">
        <v>9</v>
      </c>
      <c r="J24" s="1" t="s">
        <v>9</v>
      </c>
      <c r="K24" s="53" t="s">
        <v>11</v>
      </c>
      <c r="L24" s="21"/>
      <c r="M24" s="85" t="s">
        <v>281</v>
      </c>
      <c r="N24" s="42" t="s">
        <v>285</v>
      </c>
      <c r="O24" s="53" t="s">
        <v>11</v>
      </c>
      <c r="P24" s="53" t="s">
        <v>11</v>
      </c>
      <c r="Q24" s="53" t="s">
        <v>11</v>
      </c>
      <c r="R24" s="53" t="s">
        <v>11</v>
      </c>
      <c r="S24" s="53" t="s">
        <v>11</v>
      </c>
      <c r="T24" s="53" t="s">
        <v>11</v>
      </c>
      <c r="V24" s="85" t="s">
        <v>281</v>
      </c>
      <c r="W24" s="42" t="s">
        <v>285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 t="s">
        <v>9</v>
      </c>
    </row>
    <row r="25" spans="4:29" x14ac:dyDescent="0.25">
      <c r="D25" s="85"/>
      <c r="E25" s="42" t="s">
        <v>286</v>
      </c>
      <c r="F25" s="1" t="s">
        <v>9</v>
      </c>
      <c r="G25" s="2" t="s">
        <v>9</v>
      </c>
      <c r="H25" s="53" t="s">
        <v>11</v>
      </c>
      <c r="I25" s="1" t="s">
        <v>9</v>
      </c>
      <c r="J25" s="1" t="s">
        <v>9</v>
      </c>
      <c r="K25" s="53" t="s">
        <v>11</v>
      </c>
      <c r="L25" s="21"/>
      <c r="M25" s="85"/>
      <c r="N25" s="42" t="s">
        <v>286</v>
      </c>
      <c r="O25" s="53" t="s">
        <v>11</v>
      </c>
      <c r="P25" s="53" t="s">
        <v>11</v>
      </c>
      <c r="Q25" s="53" t="s">
        <v>11</v>
      </c>
      <c r="R25" s="53" t="s">
        <v>11</v>
      </c>
      <c r="S25" s="53" t="s">
        <v>11</v>
      </c>
      <c r="T25" s="53" t="s">
        <v>11</v>
      </c>
      <c r="V25" s="85"/>
      <c r="W25" s="42" t="s">
        <v>286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</row>
    <row r="26" spans="4:29" x14ac:dyDescent="0.25">
      <c r="D26" s="85"/>
      <c r="E26" s="42" t="s">
        <v>294</v>
      </c>
      <c r="F26" s="1" t="s">
        <v>9</v>
      </c>
      <c r="G26" s="2" t="s">
        <v>9</v>
      </c>
      <c r="H26" s="53" t="s">
        <v>11</v>
      </c>
      <c r="I26" s="1" t="s">
        <v>9</v>
      </c>
      <c r="J26" s="1" t="s">
        <v>9</v>
      </c>
      <c r="K26" s="53" t="s">
        <v>11</v>
      </c>
      <c r="L26" s="21"/>
      <c r="M26" s="85"/>
      <c r="N26" s="42" t="s">
        <v>294</v>
      </c>
      <c r="O26" s="53" t="s">
        <v>11</v>
      </c>
      <c r="P26" s="53" t="s">
        <v>11</v>
      </c>
      <c r="Q26" s="53" t="s">
        <v>11</v>
      </c>
      <c r="R26" s="53" t="s">
        <v>11</v>
      </c>
      <c r="S26" s="53" t="s">
        <v>11</v>
      </c>
      <c r="T26" s="53" t="s">
        <v>11</v>
      </c>
      <c r="V26" s="85"/>
      <c r="W26" s="42" t="s">
        <v>294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</row>
    <row r="27" spans="4:29" x14ac:dyDescent="0.25">
      <c r="D27" s="85"/>
      <c r="E27" s="42" t="s">
        <v>287</v>
      </c>
      <c r="F27" s="1" t="s">
        <v>9</v>
      </c>
      <c r="G27" s="2" t="s">
        <v>9</v>
      </c>
      <c r="H27" s="53" t="s">
        <v>11</v>
      </c>
      <c r="I27" s="1" t="s">
        <v>9</v>
      </c>
      <c r="J27" s="1" t="s">
        <v>9</v>
      </c>
      <c r="K27" s="53" t="s">
        <v>11</v>
      </c>
      <c r="L27" s="36"/>
      <c r="M27" s="85"/>
      <c r="N27" s="42" t="s">
        <v>287</v>
      </c>
      <c r="O27" s="53" t="s">
        <v>11</v>
      </c>
      <c r="P27" s="53" t="s">
        <v>11</v>
      </c>
      <c r="Q27" s="53" t="s">
        <v>11</v>
      </c>
      <c r="R27" s="53" t="s">
        <v>11</v>
      </c>
      <c r="S27" s="53" t="s">
        <v>11</v>
      </c>
      <c r="T27" s="53" t="s">
        <v>11</v>
      </c>
      <c r="V27" s="85"/>
      <c r="W27" s="42" t="s">
        <v>287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</row>
    <row r="28" spans="4:29" x14ac:dyDescent="0.25">
      <c r="D28" s="85"/>
      <c r="E28" s="42" t="s">
        <v>314</v>
      </c>
      <c r="F28" s="1" t="s">
        <v>9</v>
      </c>
      <c r="G28" s="2" t="s">
        <v>9</v>
      </c>
      <c r="H28" s="53" t="s">
        <v>11</v>
      </c>
      <c r="I28" s="1" t="s">
        <v>9</v>
      </c>
      <c r="J28" s="1" t="s">
        <v>9</v>
      </c>
      <c r="K28" s="53" t="s">
        <v>11</v>
      </c>
      <c r="L28" s="33"/>
      <c r="M28" s="85"/>
      <c r="N28" s="42" t="s">
        <v>314</v>
      </c>
      <c r="O28" s="53" t="s">
        <v>11</v>
      </c>
      <c r="P28" s="53" t="s">
        <v>11</v>
      </c>
      <c r="Q28" s="53" t="s">
        <v>11</v>
      </c>
      <c r="R28" s="53" t="s">
        <v>11</v>
      </c>
      <c r="S28" s="53" t="s">
        <v>11</v>
      </c>
      <c r="T28" s="53" t="s">
        <v>11</v>
      </c>
      <c r="V28" s="85"/>
      <c r="W28" s="42" t="s">
        <v>314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</row>
    <row r="29" spans="4:29" x14ac:dyDescent="0.25">
      <c r="D29" s="85"/>
      <c r="E29" s="42" t="s">
        <v>296</v>
      </c>
      <c r="F29" s="1" t="s">
        <v>9</v>
      </c>
      <c r="G29" s="2" t="s">
        <v>9</v>
      </c>
      <c r="H29" s="53" t="s">
        <v>11</v>
      </c>
      <c r="I29" s="1" t="s">
        <v>9</v>
      </c>
      <c r="J29" s="1" t="s">
        <v>9</v>
      </c>
      <c r="K29" s="53" t="s">
        <v>11</v>
      </c>
      <c r="L29" s="33"/>
      <c r="M29" s="85"/>
      <c r="N29" s="42" t="s">
        <v>296</v>
      </c>
      <c r="O29" s="53" t="s">
        <v>11</v>
      </c>
      <c r="P29" s="53" t="s">
        <v>11</v>
      </c>
      <c r="Q29" s="53" t="s">
        <v>11</v>
      </c>
      <c r="R29" s="53" t="s">
        <v>11</v>
      </c>
      <c r="S29" s="53" t="s">
        <v>11</v>
      </c>
      <c r="T29" s="53" t="s">
        <v>11</v>
      </c>
      <c r="V29" s="85"/>
      <c r="W29" s="42" t="s">
        <v>296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</row>
    <row r="30" spans="4:29" x14ac:dyDescent="0.25">
      <c r="D30" s="85"/>
      <c r="E30" s="42" t="s">
        <v>297</v>
      </c>
      <c r="F30" s="1" t="s">
        <v>9</v>
      </c>
      <c r="G30" s="2" t="s">
        <v>9</v>
      </c>
      <c r="H30" s="53" t="s">
        <v>11</v>
      </c>
      <c r="I30" s="1" t="s">
        <v>9</v>
      </c>
      <c r="J30" s="1" t="s">
        <v>9</v>
      </c>
      <c r="K30" s="53" t="s">
        <v>11</v>
      </c>
      <c r="L30" s="33"/>
      <c r="M30" s="85"/>
      <c r="N30" s="42" t="s">
        <v>297</v>
      </c>
      <c r="O30" s="53" t="s">
        <v>11</v>
      </c>
      <c r="P30" s="53" t="s">
        <v>11</v>
      </c>
      <c r="Q30" s="53" t="s">
        <v>11</v>
      </c>
      <c r="R30" s="53" t="s">
        <v>11</v>
      </c>
      <c r="S30" s="53" t="s">
        <v>11</v>
      </c>
      <c r="T30" s="53" t="s">
        <v>11</v>
      </c>
      <c r="V30" s="85"/>
      <c r="W30" s="42" t="s">
        <v>297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</row>
    <row r="31" spans="4:29" x14ac:dyDescent="0.25">
      <c r="D31" s="85"/>
      <c r="E31" s="42" t="s">
        <v>298</v>
      </c>
      <c r="F31" s="1" t="s">
        <v>9</v>
      </c>
      <c r="G31" s="2" t="s">
        <v>9</v>
      </c>
      <c r="H31" s="53" t="s">
        <v>11</v>
      </c>
      <c r="I31" s="1" t="s">
        <v>9</v>
      </c>
      <c r="J31" s="1" t="s">
        <v>9</v>
      </c>
      <c r="K31" s="53" t="s">
        <v>11</v>
      </c>
      <c r="L31" s="33"/>
      <c r="M31" s="85"/>
      <c r="N31" s="42" t="s">
        <v>298</v>
      </c>
      <c r="O31" s="53" t="s">
        <v>11</v>
      </c>
      <c r="P31" s="53" t="s">
        <v>11</v>
      </c>
      <c r="Q31" s="53" t="s">
        <v>11</v>
      </c>
      <c r="R31" s="53" t="s">
        <v>11</v>
      </c>
      <c r="S31" s="53" t="s">
        <v>11</v>
      </c>
      <c r="T31" s="53" t="s">
        <v>11</v>
      </c>
      <c r="V31" s="85"/>
      <c r="W31" s="42" t="s">
        <v>298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</row>
    <row r="32" spans="4:29" x14ac:dyDescent="0.25">
      <c r="D32" s="85"/>
      <c r="E32" s="42" t="s">
        <v>288</v>
      </c>
      <c r="F32" s="1" t="s">
        <v>9</v>
      </c>
      <c r="G32" s="2" t="s">
        <v>9</v>
      </c>
      <c r="H32" s="53" t="s">
        <v>11</v>
      </c>
      <c r="I32" s="1" t="s">
        <v>9</v>
      </c>
      <c r="J32" s="1" t="s">
        <v>9</v>
      </c>
      <c r="K32" s="53" t="s">
        <v>11</v>
      </c>
      <c r="L32" s="33"/>
      <c r="M32" s="85"/>
      <c r="N32" s="42" t="s">
        <v>288</v>
      </c>
      <c r="O32" s="53" t="s">
        <v>11</v>
      </c>
      <c r="P32" s="53" t="s">
        <v>11</v>
      </c>
      <c r="Q32" s="53" t="s">
        <v>11</v>
      </c>
      <c r="R32" s="53" t="s">
        <v>11</v>
      </c>
      <c r="S32" s="53" t="s">
        <v>11</v>
      </c>
      <c r="T32" s="53" t="s">
        <v>11</v>
      </c>
      <c r="V32" s="85"/>
      <c r="W32" s="42" t="s">
        <v>288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</row>
    <row r="33" spans="4:29" x14ac:dyDescent="0.25">
      <c r="D33" s="85"/>
      <c r="E33" s="42" t="s">
        <v>289</v>
      </c>
      <c r="F33" s="1" t="s">
        <v>9</v>
      </c>
      <c r="G33" s="2" t="s">
        <v>9</v>
      </c>
      <c r="H33" s="53" t="s">
        <v>11</v>
      </c>
      <c r="I33" s="1" t="s">
        <v>9</v>
      </c>
      <c r="J33" s="1" t="s">
        <v>9</v>
      </c>
      <c r="K33" s="53" t="s">
        <v>11</v>
      </c>
      <c r="L33" s="33"/>
      <c r="M33" s="85"/>
      <c r="N33" s="42" t="s">
        <v>289</v>
      </c>
      <c r="O33" s="53" t="s">
        <v>11</v>
      </c>
      <c r="P33" s="53" t="s">
        <v>11</v>
      </c>
      <c r="Q33" s="53" t="s">
        <v>11</v>
      </c>
      <c r="R33" s="53" t="s">
        <v>11</v>
      </c>
      <c r="S33" s="53" t="s">
        <v>11</v>
      </c>
      <c r="T33" s="53" t="s">
        <v>11</v>
      </c>
      <c r="V33" s="85"/>
      <c r="W33" s="42" t="s">
        <v>289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</row>
    <row r="34" spans="4:29" x14ac:dyDescent="0.25">
      <c r="D34" s="85"/>
      <c r="E34" s="42" t="s">
        <v>295</v>
      </c>
      <c r="F34" s="1" t="s">
        <v>9</v>
      </c>
      <c r="G34" s="2" t="s">
        <v>9</v>
      </c>
      <c r="H34" s="53" t="s">
        <v>11</v>
      </c>
      <c r="I34" s="1" t="s">
        <v>9</v>
      </c>
      <c r="J34" s="1" t="s">
        <v>9</v>
      </c>
      <c r="K34" s="53" t="s">
        <v>11</v>
      </c>
      <c r="L34" s="33"/>
      <c r="M34" s="85"/>
      <c r="N34" s="42" t="s">
        <v>295</v>
      </c>
      <c r="O34" s="53" t="s">
        <v>11</v>
      </c>
      <c r="P34" s="53" t="s">
        <v>11</v>
      </c>
      <c r="Q34" s="53" t="s">
        <v>11</v>
      </c>
      <c r="R34" s="53" t="s">
        <v>11</v>
      </c>
      <c r="S34" s="53" t="s">
        <v>11</v>
      </c>
      <c r="T34" s="53" t="s">
        <v>11</v>
      </c>
      <c r="V34" s="85"/>
      <c r="W34" s="42" t="s">
        <v>295</v>
      </c>
      <c r="X34" s="1" t="s">
        <v>9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</row>
    <row r="35" spans="4:29" x14ac:dyDescent="0.25">
      <c r="D35" s="85"/>
      <c r="E35" s="42" t="s">
        <v>290</v>
      </c>
      <c r="F35" s="1" t="s">
        <v>9</v>
      </c>
      <c r="G35" s="2" t="s">
        <v>9</v>
      </c>
      <c r="H35" s="53" t="s">
        <v>11</v>
      </c>
      <c r="I35" s="1" t="s">
        <v>9</v>
      </c>
      <c r="J35" s="1" t="s">
        <v>9</v>
      </c>
      <c r="K35" s="53" t="s">
        <v>11</v>
      </c>
      <c r="L35" s="33"/>
      <c r="M35" s="85"/>
      <c r="N35" s="42" t="s">
        <v>290</v>
      </c>
      <c r="O35" s="53" t="s">
        <v>11</v>
      </c>
      <c r="P35" s="53" t="s">
        <v>11</v>
      </c>
      <c r="Q35" s="53" t="s">
        <v>11</v>
      </c>
      <c r="R35" s="53" t="s">
        <v>11</v>
      </c>
      <c r="S35" s="53" t="s">
        <v>11</v>
      </c>
      <c r="T35" s="53" t="s">
        <v>11</v>
      </c>
      <c r="V35" s="85"/>
      <c r="W35" s="42" t="s">
        <v>290</v>
      </c>
      <c r="X35" s="1" t="s">
        <v>9</v>
      </c>
      <c r="Y35" s="1" t="s">
        <v>9</v>
      </c>
      <c r="Z35" s="1" t="s">
        <v>9</v>
      </c>
      <c r="AA35" s="1" t="s">
        <v>9</v>
      </c>
      <c r="AB35" s="1" t="s">
        <v>9</v>
      </c>
      <c r="AC35" s="1" t="s">
        <v>9</v>
      </c>
    </row>
    <row r="36" spans="4:29" x14ac:dyDescent="0.25">
      <c r="D36" s="85" t="s">
        <v>4</v>
      </c>
      <c r="E36" s="42" t="s">
        <v>291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3"/>
      <c r="M36" s="85" t="s">
        <v>4</v>
      </c>
      <c r="N36" s="42" t="s">
        <v>291</v>
      </c>
      <c r="O36" s="53" t="s">
        <v>11</v>
      </c>
      <c r="P36" s="1" t="s">
        <v>9</v>
      </c>
      <c r="Q36" s="53" t="s">
        <v>11</v>
      </c>
      <c r="R36" s="53" t="s">
        <v>11</v>
      </c>
      <c r="S36" s="1" t="s">
        <v>9</v>
      </c>
      <c r="T36" s="53" t="s">
        <v>11</v>
      </c>
      <c r="V36" s="85" t="s">
        <v>4</v>
      </c>
      <c r="W36" s="42" t="s">
        <v>291</v>
      </c>
      <c r="X36" s="1" t="s">
        <v>9</v>
      </c>
      <c r="Y36" s="1" t="s">
        <v>9</v>
      </c>
      <c r="Z36" s="53" t="s">
        <v>11</v>
      </c>
      <c r="AA36" s="1" t="s">
        <v>9</v>
      </c>
      <c r="AB36" s="1" t="s">
        <v>9</v>
      </c>
      <c r="AC36" s="53" t="s">
        <v>11</v>
      </c>
    </row>
    <row r="37" spans="4:29" x14ac:dyDescent="0.25">
      <c r="D37" s="85"/>
      <c r="E37" s="42" t="s">
        <v>292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  <c r="M37" s="85"/>
      <c r="N37" s="42" t="s">
        <v>292</v>
      </c>
      <c r="O37" s="53" t="s">
        <v>11</v>
      </c>
      <c r="P37" s="1" t="s">
        <v>9</v>
      </c>
      <c r="Q37" s="53" t="s">
        <v>11</v>
      </c>
      <c r="R37" s="53" t="s">
        <v>11</v>
      </c>
      <c r="S37" s="1" t="s">
        <v>9</v>
      </c>
      <c r="T37" s="53" t="s">
        <v>11</v>
      </c>
      <c r="V37" s="85"/>
      <c r="W37" s="42" t="s">
        <v>292</v>
      </c>
      <c r="X37" s="1" t="s">
        <v>9</v>
      </c>
      <c r="Y37" s="1" t="s">
        <v>9</v>
      </c>
      <c r="Z37" s="53" t="s">
        <v>11</v>
      </c>
      <c r="AA37" s="1" t="s">
        <v>9</v>
      </c>
      <c r="AB37" s="1" t="s">
        <v>9</v>
      </c>
      <c r="AC37" s="53" t="s">
        <v>11</v>
      </c>
    </row>
    <row r="38" spans="4:29" x14ac:dyDescent="0.25">
      <c r="D38" s="85"/>
      <c r="E38" s="42" t="s">
        <v>299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  <c r="M38" s="85"/>
      <c r="N38" s="42" t="s">
        <v>299</v>
      </c>
      <c r="O38" s="53" t="s">
        <v>11</v>
      </c>
      <c r="P38" s="1" t="s">
        <v>9</v>
      </c>
      <c r="Q38" s="53" t="s">
        <v>11</v>
      </c>
      <c r="R38" s="53" t="s">
        <v>11</v>
      </c>
      <c r="S38" s="1" t="s">
        <v>9</v>
      </c>
      <c r="T38" s="53" t="s">
        <v>11</v>
      </c>
      <c r="V38" s="85"/>
      <c r="W38" s="42" t="s">
        <v>299</v>
      </c>
      <c r="X38" s="1" t="s">
        <v>9</v>
      </c>
      <c r="Y38" s="1" t="s">
        <v>9</v>
      </c>
      <c r="Z38" s="53" t="s">
        <v>11</v>
      </c>
      <c r="AA38" s="1" t="s">
        <v>9</v>
      </c>
      <c r="AB38" s="1" t="s">
        <v>9</v>
      </c>
      <c r="AC38" s="53" t="s">
        <v>11</v>
      </c>
    </row>
    <row r="39" spans="4:29" x14ac:dyDescent="0.25">
      <c r="D39" s="85"/>
      <c r="E39" s="42" t="s">
        <v>293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  <c r="M39" s="85"/>
      <c r="N39" s="42" t="s">
        <v>293</v>
      </c>
      <c r="O39" s="53" t="s">
        <v>11</v>
      </c>
      <c r="P39" s="1" t="s">
        <v>9</v>
      </c>
      <c r="Q39" s="53" t="s">
        <v>11</v>
      </c>
      <c r="R39" s="53" t="s">
        <v>11</v>
      </c>
      <c r="S39" s="1" t="s">
        <v>9</v>
      </c>
      <c r="T39" s="53" t="s">
        <v>11</v>
      </c>
      <c r="V39" s="85"/>
      <c r="W39" s="42" t="s">
        <v>293</v>
      </c>
      <c r="X39" s="1" t="s">
        <v>9</v>
      </c>
      <c r="Y39" s="1" t="s">
        <v>9</v>
      </c>
      <c r="Z39" s="53" t="s">
        <v>11</v>
      </c>
      <c r="AA39" s="1" t="s">
        <v>9</v>
      </c>
      <c r="AB39" s="1" t="s">
        <v>9</v>
      </c>
      <c r="AC39" s="53" t="s">
        <v>11</v>
      </c>
    </row>
    <row r="40" spans="4:29" x14ac:dyDescent="0.25">
      <c r="D40" s="85"/>
      <c r="E40" s="42" t="s">
        <v>288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  <c r="M40" s="85"/>
      <c r="N40" s="42" t="s">
        <v>288</v>
      </c>
      <c r="O40" s="53" t="s">
        <v>11</v>
      </c>
      <c r="P40" s="1" t="s">
        <v>9</v>
      </c>
      <c r="Q40" s="53" t="s">
        <v>11</v>
      </c>
      <c r="R40" s="53" t="s">
        <v>11</v>
      </c>
      <c r="S40" s="1" t="s">
        <v>9</v>
      </c>
      <c r="T40" s="53" t="s">
        <v>11</v>
      </c>
      <c r="V40" s="85"/>
      <c r="W40" s="42" t="s">
        <v>288</v>
      </c>
      <c r="X40" s="1" t="s">
        <v>9</v>
      </c>
      <c r="Y40" s="1" t="s">
        <v>9</v>
      </c>
      <c r="Z40" s="53" t="s">
        <v>11</v>
      </c>
      <c r="AA40" s="1" t="s">
        <v>9</v>
      </c>
      <c r="AB40" s="1" t="s">
        <v>9</v>
      </c>
      <c r="AC40" s="53" t="s">
        <v>11</v>
      </c>
    </row>
    <row r="41" spans="4:29" x14ac:dyDescent="0.25">
      <c r="D41" s="85"/>
      <c r="E41" s="42" t="s">
        <v>289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38"/>
      <c r="M41" s="85"/>
      <c r="N41" s="42" t="s">
        <v>289</v>
      </c>
      <c r="O41" s="53" t="s">
        <v>11</v>
      </c>
      <c r="P41" s="1" t="s">
        <v>9</v>
      </c>
      <c r="Q41" s="53" t="s">
        <v>11</v>
      </c>
      <c r="R41" s="53" t="s">
        <v>11</v>
      </c>
      <c r="S41" s="1" t="s">
        <v>9</v>
      </c>
      <c r="T41" s="53" t="s">
        <v>11</v>
      </c>
      <c r="V41" s="85"/>
      <c r="W41" s="42" t="s">
        <v>289</v>
      </c>
      <c r="X41" s="1" t="s">
        <v>9</v>
      </c>
      <c r="Y41" s="1" t="s">
        <v>9</v>
      </c>
      <c r="Z41" s="53" t="s">
        <v>11</v>
      </c>
      <c r="AA41" s="1" t="s">
        <v>9</v>
      </c>
      <c r="AB41" s="1" t="s">
        <v>9</v>
      </c>
      <c r="AC41" s="53" t="s">
        <v>11</v>
      </c>
    </row>
    <row r="42" spans="4:29" x14ac:dyDescent="0.25">
      <c r="D42" s="85"/>
      <c r="E42" s="42" t="s">
        <v>295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M42" s="85"/>
      <c r="N42" s="42" t="s">
        <v>295</v>
      </c>
      <c r="O42" s="53" t="s">
        <v>11</v>
      </c>
      <c r="P42" s="1" t="s">
        <v>9</v>
      </c>
      <c r="Q42" s="53" t="s">
        <v>11</v>
      </c>
      <c r="R42" s="53" t="s">
        <v>11</v>
      </c>
      <c r="S42" s="1" t="s">
        <v>9</v>
      </c>
      <c r="T42" s="53" t="s">
        <v>11</v>
      </c>
      <c r="V42" s="85"/>
      <c r="W42" s="42" t="s">
        <v>295</v>
      </c>
      <c r="X42" s="1" t="s">
        <v>9</v>
      </c>
      <c r="Y42" s="1" t="s">
        <v>9</v>
      </c>
      <c r="Z42" s="53" t="s">
        <v>11</v>
      </c>
      <c r="AA42" s="1" t="s">
        <v>9</v>
      </c>
      <c r="AB42" s="1" t="s">
        <v>9</v>
      </c>
      <c r="AC42" s="53" t="s">
        <v>11</v>
      </c>
    </row>
    <row r="43" spans="4:29" x14ac:dyDescent="0.25">
      <c r="D43" s="85"/>
      <c r="E43" s="42" t="s">
        <v>290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M43" s="85"/>
      <c r="N43" s="42" t="s">
        <v>290</v>
      </c>
      <c r="O43" s="53" t="s">
        <v>11</v>
      </c>
      <c r="P43" s="1" t="s">
        <v>9</v>
      </c>
      <c r="Q43" s="53" t="s">
        <v>11</v>
      </c>
      <c r="R43" s="53" t="s">
        <v>11</v>
      </c>
      <c r="S43" s="1" t="s">
        <v>9</v>
      </c>
      <c r="T43" s="53" t="s">
        <v>11</v>
      </c>
      <c r="V43" s="85"/>
      <c r="W43" s="42" t="s">
        <v>290</v>
      </c>
      <c r="X43" s="1" t="s">
        <v>9</v>
      </c>
      <c r="Y43" s="1" t="s">
        <v>9</v>
      </c>
      <c r="Z43" s="53" t="s">
        <v>11</v>
      </c>
      <c r="AA43" s="1" t="s">
        <v>9</v>
      </c>
      <c r="AB43" s="1" t="s">
        <v>9</v>
      </c>
      <c r="AC43" s="53" t="s">
        <v>11</v>
      </c>
    </row>
    <row r="44" spans="4:29" x14ac:dyDescent="0.25">
      <c r="D44" s="85" t="s">
        <v>3</v>
      </c>
      <c r="E44" s="42" t="s">
        <v>285</v>
      </c>
      <c r="F44" s="1" t="s">
        <v>9</v>
      </c>
      <c r="G44" s="2" t="s">
        <v>9</v>
      </c>
      <c r="H44" s="53" t="s">
        <v>11</v>
      </c>
      <c r="I44" s="1" t="s">
        <v>9</v>
      </c>
      <c r="J44" s="2" t="s">
        <v>9</v>
      </c>
      <c r="K44" s="53" t="s">
        <v>11</v>
      </c>
      <c r="M44" s="85" t="s">
        <v>3</v>
      </c>
      <c r="N44" s="42" t="s">
        <v>285</v>
      </c>
      <c r="O44" s="53" t="s">
        <v>11</v>
      </c>
      <c r="P44" s="53" t="s">
        <v>11</v>
      </c>
      <c r="Q44" s="53" t="s">
        <v>11</v>
      </c>
      <c r="R44" s="53" t="s">
        <v>11</v>
      </c>
      <c r="S44" s="53" t="s">
        <v>11</v>
      </c>
      <c r="T44" s="53" t="s">
        <v>11</v>
      </c>
      <c r="V44" s="85" t="s">
        <v>3</v>
      </c>
      <c r="W44" s="42" t="s">
        <v>285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</row>
    <row r="45" spans="4:29" x14ac:dyDescent="0.25">
      <c r="D45" s="85"/>
      <c r="E45" s="42" t="s">
        <v>286</v>
      </c>
      <c r="F45" s="1" t="s">
        <v>9</v>
      </c>
      <c r="G45" s="2" t="s">
        <v>9</v>
      </c>
      <c r="H45" s="53" t="s">
        <v>11</v>
      </c>
      <c r="I45" s="1" t="s">
        <v>9</v>
      </c>
      <c r="J45" s="2" t="s">
        <v>9</v>
      </c>
      <c r="K45" s="53" t="s">
        <v>11</v>
      </c>
      <c r="M45" s="85"/>
      <c r="N45" s="42" t="s">
        <v>286</v>
      </c>
      <c r="O45" s="53" t="s">
        <v>11</v>
      </c>
      <c r="P45" s="53" t="s">
        <v>11</v>
      </c>
      <c r="Q45" s="53" t="s">
        <v>11</v>
      </c>
      <c r="R45" s="53" t="s">
        <v>11</v>
      </c>
      <c r="S45" s="53" t="s">
        <v>11</v>
      </c>
      <c r="T45" s="53" t="s">
        <v>11</v>
      </c>
      <c r="V45" s="85"/>
      <c r="W45" s="42" t="s">
        <v>286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</row>
    <row r="46" spans="4:29" x14ac:dyDescent="0.25">
      <c r="D46" s="85"/>
      <c r="E46" s="42" t="s">
        <v>294</v>
      </c>
      <c r="F46" s="1" t="s">
        <v>9</v>
      </c>
      <c r="G46" s="2" t="s">
        <v>9</v>
      </c>
      <c r="H46" s="53" t="s">
        <v>11</v>
      </c>
      <c r="I46" s="1" t="s">
        <v>9</v>
      </c>
      <c r="J46" s="2" t="s">
        <v>9</v>
      </c>
      <c r="K46" s="53" t="s">
        <v>11</v>
      </c>
      <c r="M46" s="85"/>
      <c r="N46" s="42" t="s">
        <v>294</v>
      </c>
      <c r="O46" s="53" t="s">
        <v>11</v>
      </c>
      <c r="P46" s="53" t="s">
        <v>11</v>
      </c>
      <c r="Q46" s="53" t="s">
        <v>11</v>
      </c>
      <c r="R46" s="53" t="s">
        <v>11</v>
      </c>
      <c r="S46" s="53" t="s">
        <v>11</v>
      </c>
      <c r="T46" s="53" t="s">
        <v>11</v>
      </c>
      <c r="V46" s="85"/>
      <c r="W46" s="42" t="s">
        <v>294</v>
      </c>
      <c r="X46" s="1" t="s">
        <v>9</v>
      </c>
      <c r="Y46" s="1" t="s">
        <v>9</v>
      </c>
      <c r="Z46" s="1" t="s">
        <v>9</v>
      </c>
      <c r="AA46" s="1" t="s">
        <v>9</v>
      </c>
      <c r="AB46" s="1" t="s">
        <v>9</v>
      </c>
      <c r="AC46" s="1" t="s">
        <v>9</v>
      </c>
    </row>
    <row r="47" spans="4:29" x14ac:dyDescent="0.25">
      <c r="D47" s="85"/>
      <c r="E47" s="42" t="s">
        <v>287</v>
      </c>
      <c r="F47" s="1" t="s">
        <v>9</v>
      </c>
      <c r="G47" s="2" t="s">
        <v>9</v>
      </c>
      <c r="H47" s="53" t="s">
        <v>11</v>
      </c>
      <c r="I47" s="1" t="s">
        <v>9</v>
      </c>
      <c r="J47" s="2" t="s">
        <v>9</v>
      </c>
      <c r="K47" s="53" t="s">
        <v>11</v>
      </c>
      <c r="M47" s="85"/>
      <c r="N47" s="42" t="s">
        <v>287</v>
      </c>
      <c r="O47" s="53" t="s">
        <v>11</v>
      </c>
      <c r="P47" s="53" t="s">
        <v>11</v>
      </c>
      <c r="Q47" s="53" t="s">
        <v>11</v>
      </c>
      <c r="R47" s="53" t="s">
        <v>11</v>
      </c>
      <c r="S47" s="53" t="s">
        <v>11</v>
      </c>
      <c r="T47" s="53" t="s">
        <v>11</v>
      </c>
      <c r="V47" s="85"/>
      <c r="W47" s="42" t="s">
        <v>287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</row>
    <row r="48" spans="4:29" x14ac:dyDescent="0.25">
      <c r="D48" s="47" t="s">
        <v>300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M48" s="47" t="s">
        <v>300</v>
      </c>
      <c r="N48" s="43" t="s">
        <v>6</v>
      </c>
      <c r="O48" s="1" t="s">
        <v>9</v>
      </c>
      <c r="P48" s="1" t="s">
        <v>9</v>
      </c>
      <c r="Q48" s="53" t="s">
        <v>11</v>
      </c>
      <c r="R48" s="1" t="s">
        <v>9</v>
      </c>
      <c r="S48" s="1" t="s">
        <v>9</v>
      </c>
      <c r="T48" s="53" t="s">
        <v>11</v>
      </c>
      <c r="V48" s="47" t="s">
        <v>300</v>
      </c>
      <c r="W48" s="43" t="s">
        <v>6</v>
      </c>
      <c r="X48" s="1" t="s">
        <v>9</v>
      </c>
      <c r="Y48" s="1" t="s">
        <v>9</v>
      </c>
      <c r="Z48" s="53" t="s">
        <v>11</v>
      </c>
      <c r="AA48" s="1" t="s">
        <v>9</v>
      </c>
      <c r="AB48" s="1" t="s">
        <v>9</v>
      </c>
      <c r="AC48" s="53" t="s">
        <v>11</v>
      </c>
    </row>
    <row r="49" spans="2:29" x14ac:dyDescent="0.25">
      <c r="D49" s="47" t="s">
        <v>301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M49" s="47" t="s">
        <v>301</v>
      </c>
      <c r="N49" s="43" t="s">
        <v>6</v>
      </c>
      <c r="O49" s="1" t="s">
        <v>9</v>
      </c>
      <c r="P49" s="1" t="s">
        <v>9</v>
      </c>
      <c r="Q49" s="53" t="s">
        <v>11</v>
      </c>
      <c r="R49" s="1" t="s">
        <v>9</v>
      </c>
      <c r="S49" s="1" t="s">
        <v>9</v>
      </c>
      <c r="T49" s="53" t="s">
        <v>11</v>
      </c>
      <c r="V49" s="47" t="s">
        <v>301</v>
      </c>
      <c r="W49" s="43" t="s">
        <v>6</v>
      </c>
      <c r="X49" s="1" t="s">
        <v>9</v>
      </c>
      <c r="Y49" s="1" t="s">
        <v>9</v>
      </c>
      <c r="Z49" s="53" t="s">
        <v>11</v>
      </c>
      <c r="AA49" s="1" t="s">
        <v>9</v>
      </c>
      <c r="AB49" s="1" t="s">
        <v>9</v>
      </c>
      <c r="AC49" s="53" t="s">
        <v>11</v>
      </c>
    </row>
    <row r="50" spans="2:29" x14ac:dyDescent="0.25">
      <c r="D50" s="48" t="s">
        <v>5</v>
      </c>
      <c r="E50" s="43" t="s">
        <v>6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M50" s="48" t="s">
        <v>5</v>
      </c>
      <c r="N50" s="43" t="s">
        <v>6</v>
      </c>
      <c r="O50" s="1" t="s">
        <v>9</v>
      </c>
      <c r="P50" s="1" t="s">
        <v>9</v>
      </c>
      <c r="Q50" s="53" t="s">
        <v>11</v>
      </c>
      <c r="R50" s="1" t="s">
        <v>9</v>
      </c>
      <c r="S50" s="1" t="s">
        <v>9</v>
      </c>
      <c r="T50" s="53" t="s">
        <v>11</v>
      </c>
      <c r="V50" s="48" t="s">
        <v>5</v>
      </c>
      <c r="W50" s="43" t="s">
        <v>6</v>
      </c>
      <c r="X50" s="1" t="s">
        <v>9</v>
      </c>
      <c r="Y50" s="1" t="s">
        <v>9</v>
      </c>
      <c r="Z50" s="53" t="s">
        <v>11</v>
      </c>
      <c r="AA50" s="1" t="s">
        <v>9</v>
      </c>
      <c r="AB50" s="1" t="s">
        <v>9</v>
      </c>
      <c r="AC50" s="53" t="s">
        <v>11</v>
      </c>
    </row>
    <row r="51" spans="2:29" x14ac:dyDescent="0.25">
      <c r="D51" s="48" t="s">
        <v>325</v>
      </c>
      <c r="E51" s="43" t="s">
        <v>7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M51" s="48" t="s">
        <v>325</v>
      </c>
      <c r="N51" s="43" t="s">
        <v>7</v>
      </c>
      <c r="O51" s="1" t="s">
        <v>9</v>
      </c>
      <c r="P51" s="1" t="s">
        <v>9</v>
      </c>
      <c r="Q51" s="53" t="s">
        <v>11</v>
      </c>
      <c r="R51" s="1" t="s">
        <v>9</v>
      </c>
      <c r="S51" s="1" t="s">
        <v>9</v>
      </c>
      <c r="T51" s="53" t="s">
        <v>11</v>
      </c>
      <c r="V51" s="48" t="s">
        <v>325</v>
      </c>
      <c r="W51" s="43" t="s">
        <v>7</v>
      </c>
      <c r="X51" s="1" t="s">
        <v>9</v>
      </c>
      <c r="Y51" s="1" t="s">
        <v>9</v>
      </c>
      <c r="Z51" s="1" t="s">
        <v>9</v>
      </c>
      <c r="AA51" s="1" t="s">
        <v>9</v>
      </c>
      <c r="AB51" s="1" t="s">
        <v>9</v>
      </c>
      <c r="AC51" s="1" t="s">
        <v>9</v>
      </c>
    </row>
    <row r="52" spans="2:29" x14ac:dyDescent="0.25">
      <c r="D52" s="85" t="s">
        <v>312</v>
      </c>
      <c r="E52" s="43" t="s">
        <v>285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M52" s="85" t="s">
        <v>312</v>
      </c>
      <c r="N52" s="43" t="s">
        <v>285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V52" s="85" t="s">
        <v>312</v>
      </c>
      <c r="W52" s="43" t="s">
        <v>285</v>
      </c>
      <c r="X52" s="1" t="s">
        <v>9</v>
      </c>
      <c r="Y52" s="1" t="s">
        <v>9</v>
      </c>
      <c r="Z52" s="53" t="s">
        <v>11</v>
      </c>
      <c r="AA52" s="1" t="s">
        <v>9</v>
      </c>
      <c r="AB52" s="1" t="s">
        <v>9</v>
      </c>
      <c r="AC52" s="53" t="s">
        <v>11</v>
      </c>
    </row>
    <row r="53" spans="2:29" x14ac:dyDescent="0.25">
      <c r="D53" s="85"/>
      <c r="E53" s="43" t="s">
        <v>294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M53" s="85"/>
      <c r="N53" s="43" t="s">
        <v>294</v>
      </c>
      <c r="O53" s="1" t="s">
        <v>9</v>
      </c>
      <c r="P53" s="1" t="s">
        <v>9</v>
      </c>
      <c r="Q53" s="1" t="s">
        <v>9</v>
      </c>
      <c r="R53" s="1" t="s">
        <v>9</v>
      </c>
      <c r="S53" s="1" t="s">
        <v>9</v>
      </c>
      <c r="T53" s="1" t="s">
        <v>9</v>
      </c>
      <c r="V53" s="85"/>
      <c r="W53" s="43" t="s">
        <v>294</v>
      </c>
      <c r="X53" s="1" t="s">
        <v>9</v>
      </c>
      <c r="Y53" s="1" t="s">
        <v>9</v>
      </c>
      <c r="Z53" s="53" t="s">
        <v>11</v>
      </c>
      <c r="AA53" s="1" t="s">
        <v>9</v>
      </c>
      <c r="AB53" s="1" t="s">
        <v>9</v>
      </c>
      <c r="AC53" s="53" t="s">
        <v>11</v>
      </c>
    </row>
    <row r="54" spans="2:29" x14ac:dyDescent="0.25">
      <c r="D54" s="85"/>
      <c r="E54" s="43" t="s">
        <v>314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M54" s="85"/>
      <c r="N54" s="43" t="s">
        <v>314</v>
      </c>
      <c r="O54" s="1" t="s">
        <v>9</v>
      </c>
      <c r="P54" s="1" t="s">
        <v>9</v>
      </c>
      <c r="Q54" s="1" t="s">
        <v>9</v>
      </c>
      <c r="R54" s="1" t="s">
        <v>9</v>
      </c>
      <c r="S54" s="1" t="s">
        <v>9</v>
      </c>
      <c r="T54" s="1" t="s">
        <v>9</v>
      </c>
      <c r="V54" s="85"/>
      <c r="W54" s="43" t="s">
        <v>314</v>
      </c>
      <c r="X54" s="1" t="s">
        <v>9</v>
      </c>
      <c r="Y54" s="1" t="s">
        <v>9</v>
      </c>
      <c r="Z54" s="53" t="s">
        <v>11</v>
      </c>
      <c r="AA54" s="1" t="s">
        <v>9</v>
      </c>
      <c r="AB54" s="1" t="s">
        <v>9</v>
      </c>
      <c r="AC54" s="53" t="s">
        <v>11</v>
      </c>
    </row>
    <row r="55" spans="2:29" x14ac:dyDescent="0.25">
      <c r="D55" s="85"/>
      <c r="E55" s="43" t="s">
        <v>297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M55" s="85"/>
      <c r="N55" s="43" t="s">
        <v>297</v>
      </c>
      <c r="O55" s="1" t="s">
        <v>9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9</v>
      </c>
      <c r="V55" s="85"/>
      <c r="W55" s="43" t="s">
        <v>297</v>
      </c>
      <c r="X55" s="1" t="s">
        <v>9</v>
      </c>
      <c r="Y55" s="1" t="s">
        <v>9</v>
      </c>
      <c r="Z55" s="53" t="s">
        <v>11</v>
      </c>
      <c r="AA55" s="1" t="s">
        <v>9</v>
      </c>
      <c r="AB55" s="1" t="s">
        <v>9</v>
      </c>
      <c r="AC55" s="53" t="s">
        <v>11</v>
      </c>
    </row>
    <row r="56" spans="2:29" x14ac:dyDescent="0.25">
      <c r="D56" s="85"/>
      <c r="E56" s="43" t="s">
        <v>288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M56" s="85"/>
      <c r="N56" s="43" t="s">
        <v>288</v>
      </c>
      <c r="O56" s="1" t="s">
        <v>9</v>
      </c>
      <c r="P56" s="1" t="s">
        <v>9</v>
      </c>
      <c r="Q56" s="1" t="s">
        <v>9</v>
      </c>
      <c r="R56" s="1" t="s">
        <v>9</v>
      </c>
      <c r="S56" s="1" t="s">
        <v>9</v>
      </c>
      <c r="T56" s="1" t="s">
        <v>9</v>
      </c>
      <c r="V56" s="85"/>
      <c r="W56" s="43" t="s">
        <v>288</v>
      </c>
      <c r="X56" s="1" t="s">
        <v>9</v>
      </c>
      <c r="Y56" s="1" t="s">
        <v>9</v>
      </c>
      <c r="Z56" s="53" t="s">
        <v>11</v>
      </c>
      <c r="AA56" s="1" t="s">
        <v>9</v>
      </c>
      <c r="AB56" s="1" t="s">
        <v>9</v>
      </c>
      <c r="AC56" s="53" t="s">
        <v>11</v>
      </c>
    </row>
    <row r="57" spans="2:29" x14ac:dyDescent="0.25">
      <c r="D57" s="85"/>
      <c r="E57" s="43" t="s">
        <v>295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M57" s="85"/>
      <c r="N57" s="43" t="s">
        <v>295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V57" s="85"/>
      <c r="W57" s="43" t="s">
        <v>295</v>
      </c>
      <c r="X57" s="1" t="s">
        <v>9</v>
      </c>
      <c r="Y57" s="1" t="s">
        <v>9</v>
      </c>
      <c r="Z57" s="53" t="s">
        <v>11</v>
      </c>
      <c r="AA57" s="1" t="s">
        <v>9</v>
      </c>
      <c r="AB57" s="1" t="s">
        <v>9</v>
      </c>
      <c r="AC57" s="53" t="s">
        <v>11</v>
      </c>
    </row>
    <row r="58" spans="2:29" x14ac:dyDescent="0.25">
      <c r="D58" s="85" t="s">
        <v>313</v>
      </c>
      <c r="E58" s="43" t="s">
        <v>285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  <c r="M58" s="85" t="s">
        <v>313</v>
      </c>
      <c r="N58" s="43" t="s">
        <v>285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V58" s="85" t="s">
        <v>313</v>
      </c>
      <c r="W58" s="43" t="s">
        <v>285</v>
      </c>
      <c r="X58" s="1" t="s">
        <v>9</v>
      </c>
      <c r="Y58" s="1" t="s">
        <v>9</v>
      </c>
      <c r="Z58" s="53" t="s">
        <v>11</v>
      </c>
      <c r="AA58" s="1" t="s">
        <v>9</v>
      </c>
      <c r="AB58" s="1" t="s">
        <v>9</v>
      </c>
      <c r="AC58" s="53" t="s">
        <v>11</v>
      </c>
    </row>
    <row r="59" spans="2:29" x14ac:dyDescent="0.25">
      <c r="D59" s="85"/>
      <c r="E59" s="43" t="s">
        <v>294</v>
      </c>
      <c r="F59" s="1" t="s">
        <v>9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M59" s="85"/>
      <c r="N59" s="43" t="s">
        <v>294</v>
      </c>
      <c r="O59" s="1" t="s">
        <v>9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9</v>
      </c>
      <c r="V59" s="85"/>
      <c r="W59" s="43" t="s">
        <v>294</v>
      </c>
      <c r="X59" s="1" t="s">
        <v>9</v>
      </c>
      <c r="Y59" s="1" t="s">
        <v>9</v>
      </c>
      <c r="Z59" s="53" t="s">
        <v>11</v>
      </c>
      <c r="AA59" s="1" t="s">
        <v>9</v>
      </c>
      <c r="AB59" s="1" t="s">
        <v>9</v>
      </c>
      <c r="AC59" s="53" t="s">
        <v>11</v>
      </c>
    </row>
    <row r="62" spans="2:29" s="55" customFormat="1" ht="15.75" x14ac:dyDescent="0.25">
      <c r="B62" s="54" t="s">
        <v>235</v>
      </c>
      <c r="D62" s="56"/>
    </row>
    <row r="64" spans="2:29" ht="16.5" x14ac:dyDescent="0.3">
      <c r="C64" s="57" t="s">
        <v>273</v>
      </c>
      <c r="D64" s="58"/>
      <c r="E64" s="58"/>
      <c r="F64" s="58"/>
      <c r="G64" s="58"/>
      <c r="H64" s="58"/>
      <c r="I64" s="58"/>
      <c r="J64" s="58"/>
      <c r="K64" s="58"/>
      <c r="M64" s="57" t="s">
        <v>275</v>
      </c>
      <c r="N64" s="58"/>
      <c r="O64" s="58"/>
      <c r="P64" s="58"/>
      <c r="Q64" s="58"/>
      <c r="R64" s="58"/>
      <c r="S64" s="58"/>
      <c r="T64" s="58"/>
      <c r="V64" s="57" t="s">
        <v>276</v>
      </c>
      <c r="W64" s="58"/>
      <c r="X64" s="58"/>
      <c r="Y64" s="58"/>
      <c r="Z64" s="58"/>
      <c r="AA64" s="58"/>
      <c r="AB64" s="58"/>
      <c r="AC64" s="58"/>
    </row>
    <row r="65" spans="3:24" ht="16.5" x14ac:dyDescent="0.3">
      <c r="C65" s="57" t="s">
        <v>274</v>
      </c>
      <c r="D65" s="58"/>
      <c r="E65" s="58"/>
      <c r="F65" s="58"/>
      <c r="G65" s="58"/>
      <c r="H65" s="58"/>
      <c r="I65" s="58"/>
      <c r="J65" s="58"/>
      <c r="K65" s="58"/>
    </row>
    <row r="66" spans="3:24" ht="15.75" x14ac:dyDescent="0.25">
      <c r="C66" s="49"/>
    </row>
    <row r="67" spans="3:24" x14ac:dyDescent="0.25">
      <c r="D67" s="47" t="s">
        <v>303</v>
      </c>
      <c r="E67" s="42" t="s">
        <v>304</v>
      </c>
      <c r="F67" s="53" t="s">
        <v>11</v>
      </c>
      <c r="M67" s="47" t="s">
        <v>303</v>
      </c>
      <c r="N67" s="42" t="s">
        <v>304</v>
      </c>
      <c r="O67" s="53" t="s">
        <v>11</v>
      </c>
      <c r="V67" s="47" t="s">
        <v>303</v>
      </c>
      <c r="W67" s="42" t="s">
        <v>304</v>
      </c>
      <c r="X67" s="53" t="s">
        <v>11</v>
      </c>
    </row>
    <row r="68" spans="3:24" x14ac:dyDescent="0.25">
      <c r="D68" s="47" t="s">
        <v>305</v>
      </c>
      <c r="E68" s="42" t="s">
        <v>283</v>
      </c>
      <c r="F68" s="53" t="s">
        <v>11</v>
      </c>
      <c r="M68" s="47" t="s">
        <v>305</v>
      </c>
      <c r="N68" s="42" t="s">
        <v>283</v>
      </c>
      <c r="O68" s="53" t="s">
        <v>11</v>
      </c>
      <c r="V68" s="47" t="s">
        <v>305</v>
      </c>
      <c r="W68" s="42" t="s">
        <v>283</v>
      </c>
      <c r="X68" s="53" t="s">
        <v>11</v>
      </c>
    </row>
    <row r="69" spans="3:24" x14ac:dyDescent="0.25">
      <c r="D69" s="85" t="s">
        <v>307</v>
      </c>
      <c r="E69" s="42" t="s">
        <v>306</v>
      </c>
      <c r="F69" s="53" t="s">
        <v>11</v>
      </c>
      <c r="M69" s="85" t="s">
        <v>307</v>
      </c>
      <c r="N69" s="42" t="s">
        <v>306</v>
      </c>
      <c r="O69" s="53" t="s">
        <v>11</v>
      </c>
      <c r="V69" s="85" t="s">
        <v>307</v>
      </c>
      <c r="W69" s="42" t="s">
        <v>306</v>
      </c>
      <c r="X69" s="1" t="s">
        <v>9</v>
      </c>
    </row>
    <row r="70" spans="3:24" x14ac:dyDescent="0.25">
      <c r="D70" s="85"/>
      <c r="E70" s="42" t="s">
        <v>308</v>
      </c>
      <c r="F70" s="53" t="s">
        <v>11</v>
      </c>
      <c r="M70" s="85"/>
      <c r="N70" s="42" t="s">
        <v>308</v>
      </c>
      <c r="O70" s="53" t="s">
        <v>11</v>
      </c>
      <c r="V70" s="85"/>
      <c r="W70" s="42" t="s">
        <v>308</v>
      </c>
      <c r="X70" s="1" t="s">
        <v>9</v>
      </c>
    </row>
    <row r="71" spans="3:24" x14ac:dyDescent="0.25">
      <c r="D71" s="85" t="s">
        <v>309</v>
      </c>
      <c r="E71" s="42" t="s">
        <v>285</v>
      </c>
      <c r="F71" s="53" t="s">
        <v>11</v>
      </c>
      <c r="M71" s="85" t="s">
        <v>309</v>
      </c>
      <c r="N71" s="42" t="s">
        <v>285</v>
      </c>
      <c r="O71" s="53" t="s">
        <v>11</v>
      </c>
      <c r="V71" s="85" t="s">
        <v>309</v>
      </c>
      <c r="W71" s="42" t="s">
        <v>285</v>
      </c>
      <c r="X71" s="1" t="s">
        <v>9</v>
      </c>
    </row>
    <row r="72" spans="3:24" x14ac:dyDescent="0.25">
      <c r="D72" s="85"/>
      <c r="E72" s="42" t="s">
        <v>287</v>
      </c>
      <c r="F72" s="53" t="s">
        <v>11</v>
      </c>
      <c r="M72" s="85"/>
      <c r="N72" s="42" t="s">
        <v>287</v>
      </c>
      <c r="O72" s="53" t="s">
        <v>11</v>
      </c>
      <c r="V72" s="85"/>
      <c r="W72" s="42" t="s">
        <v>287</v>
      </c>
      <c r="X72" s="1" t="s">
        <v>9</v>
      </c>
    </row>
    <row r="73" spans="3:24" x14ac:dyDescent="0.25">
      <c r="D73" s="85" t="s">
        <v>281</v>
      </c>
      <c r="E73" s="42" t="s">
        <v>285</v>
      </c>
      <c r="F73" s="53" t="s">
        <v>11</v>
      </c>
      <c r="M73" s="85" t="s">
        <v>281</v>
      </c>
      <c r="N73" s="42" t="s">
        <v>285</v>
      </c>
      <c r="O73" s="53" t="s">
        <v>11</v>
      </c>
      <c r="V73" s="85" t="s">
        <v>281</v>
      </c>
      <c r="W73" s="42" t="s">
        <v>285</v>
      </c>
      <c r="X73" s="1" t="s">
        <v>9</v>
      </c>
    </row>
    <row r="74" spans="3:24" x14ac:dyDescent="0.25">
      <c r="D74" s="85"/>
      <c r="E74" s="42" t="s">
        <v>286</v>
      </c>
      <c r="F74" s="53" t="s">
        <v>11</v>
      </c>
      <c r="M74" s="85"/>
      <c r="N74" s="42" t="s">
        <v>286</v>
      </c>
      <c r="O74" s="53" t="s">
        <v>11</v>
      </c>
      <c r="V74" s="85"/>
      <c r="W74" s="42" t="s">
        <v>286</v>
      </c>
      <c r="X74" s="1" t="s">
        <v>9</v>
      </c>
    </row>
    <row r="75" spans="3:24" x14ac:dyDescent="0.25">
      <c r="D75" s="85"/>
      <c r="E75" s="42" t="s">
        <v>294</v>
      </c>
      <c r="F75" s="53" t="s">
        <v>11</v>
      </c>
      <c r="M75" s="85"/>
      <c r="N75" s="42" t="s">
        <v>294</v>
      </c>
      <c r="O75" s="53" t="s">
        <v>11</v>
      </c>
      <c r="V75" s="85"/>
      <c r="W75" s="42" t="s">
        <v>294</v>
      </c>
      <c r="X75" s="1" t="s">
        <v>9</v>
      </c>
    </row>
    <row r="76" spans="3:24" x14ac:dyDescent="0.25">
      <c r="D76" s="85"/>
      <c r="E76" s="42" t="s">
        <v>287</v>
      </c>
      <c r="F76" s="53" t="s">
        <v>11</v>
      </c>
      <c r="M76" s="85"/>
      <c r="N76" s="42" t="s">
        <v>287</v>
      </c>
      <c r="O76" s="53" t="s">
        <v>11</v>
      </c>
      <c r="V76" s="85"/>
      <c r="W76" s="42" t="s">
        <v>287</v>
      </c>
      <c r="X76" s="1" t="s">
        <v>9</v>
      </c>
    </row>
    <row r="77" spans="3:24" x14ac:dyDescent="0.25">
      <c r="D77" s="85"/>
      <c r="E77" s="42" t="s">
        <v>314</v>
      </c>
      <c r="F77" s="53" t="s">
        <v>11</v>
      </c>
      <c r="M77" s="85"/>
      <c r="N77" s="42" t="s">
        <v>314</v>
      </c>
      <c r="O77" s="53" t="s">
        <v>11</v>
      </c>
      <c r="V77" s="85"/>
      <c r="W77" s="42" t="s">
        <v>314</v>
      </c>
      <c r="X77" s="1" t="s">
        <v>9</v>
      </c>
    </row>
    <row r="78" spans="3:24" x14ac:dyDescent="0.25">
      <c r="D78" s="85"/>
      <c r="E78" s="42" t="s">
        <v>296</v>
      </c>
      <c r="F78" s="53" t="s">
        <v>11</v>
      </c>
      <c r="M78" s="85"/>
      <c r="N78" s="42" t="s">
        <v>296</v>
      </c>
      <c r="O78" s="53" t="s">
        <v>11</v>
      </c>
      <c r="V78" s="85"/>
      <c r="W78" s="42" t="s">
        <v>296</v>
      </c>
      <c r="X78" s="1" t="s">
        <v>9</v>
      </c>
    </row>
    <row r="79" spans="3:24" x14ac:dyDescent="0.25">
      <c r="D79" s="85"/>
      <c r="E79" s="42" t="s">
        <v>297</v>
      </c>
      <c r="F79" s="53" t="s">
        <v>11</v>
      </c>
      <c r="M79" s="85"/>
      <c r="N79" s="42" t="s">
        <v>297</v>
      </c>
      <c r="O79" s="53" t="s">
        <v>11</v>
      </c>
      <c r="V79" s="85"/>
      <c r="W79" s="42" t="s">
        <v>297</v>
      </c>
      <c r="X79" s="1" t="s">
        <v>9</v>
      </c>
    </row>
    <row r="80" spans="3:24" x14ac:dyDescent="0.25">
      <c r="D80" s="85"/>
      <c r="E80" s="42" t="s">
        <v>298</v>
      </c>
      <c r="F80" s="53" t="s">
        <v>11</v>
      </c>
      <c r="M80" s="85"/>
      <c r="N80" s="42" t="s">
        <v>298</v>
      </c>
      <c r="O80" s="53" t="s">
        <v>11</v>
      </c>
      <c r="V80" s="85"/>
      <c r="W80" s="42" t="s">
        <v>298</v>
      </c>
      <c r="X80" s="1" t="s">
        <v>9</v>
      </c>
    </row>
    <row r="81" spans="4:24" x14ac:dyDescent="0.25">
      <c r="D81" s="85"/>
      <c r="E81" s="42" t="s">
        <v>288</v>
      </c>
      <c r="F81" s="53" t="s">
        <v>11</v>
      </c>
      <c r="M81" s="85"/>
      <c r="N81" s="42" t="s">
        <v>288</v>
      </c>
      <c r="O81" s="53" t="s">
        <v>11</v>
      </c>
      <c r="V81" s="85"/>
      <c r="W81" s="42" t="s">
        <v>288</v>
      </c>
      <c r="X81" s="1" t="s">
        <v>9</v>
      </c>
    </row>
    <row r="82" spans="4:24" x14ac:dyDescent="0.25">
      <c r="D82" s="85"/>
      <c r="E82" s="42" t="s">
        <v>289</v>
      </c>
      <c r="F82" s="53" t="s">
        <v>11</v>
      </c>
      <c r="M82" s="85"/>
      <c r="N82" s="42" t="s">
        <v>289</v>
      </c>
      <c r="O82" s="53" t="s">
        <v>11</v>
      </c>
      <c r="V82" s="85"/>
      <c r="W82" s="42" t="s">
        <v>289</v>
      </c>
      <c r="X82" s="1" t="s">
        <v>9</v>
      </c>
    </row>
    <row r="83" spans="4:24" x14ac:dyDescent="0.25">
      <c r="D83" s="85"/>
      <c r="E83" s="42" t="s">
        <v>295</v>
      </c>
      <c r="F83" s="53" t="s">
        <v>11</v>
      </c>
      <c r="M83" s="85"/>
      <c r="N83" s="42" t="s">
        <v>295</v>
      </c>
      <c r="O83" s="53" t="s">
        <v>11</v>
      </c>
      <c r="V83" s="85"/>
      <c r="W83" s="42" t="s">
        <v>295</v>
      </c>
      <c r="X83" s="1" t="s">
        <v>9</v>
      </c>
    </row>
    <row r="84" spans="4:24" x14ac:dyDescent="0.25">
      <c r="D84" s="85"/>
      <c r="E84" s="42" t="s">
        <v>290</v>
      </c>
      <c r="F84" s="53" t="s">
        <v>11</v>
      </c>
      <c r="M84" s="85"/>
      <c r="N84" s="42" t="s">
        <v>290</v>
      </c>
      <c r="O84" s="53" t="s">
        <v>11</v>
      </c>
      <c r="V84" s="85"/>
      <c r="W84" s="42" t="s">
        <v>290</v>
      </c>
      <c r="X84" s="1" t="s">
        <v>9</v>
      </c>
    </row>
    <row r="85" spans="4:24" x14ac:dyDescent="0.25">
      <c r="D85" s="85" t="s">
        <v>310</v>
      </c>
      <c r="E85" s="42" t="s">
        <v>292</v>
      </c>
      <c r="F85" s="1" t="s">
        <v>9</v>
      </c>
      <c r="M85" s="85" t="s">
        <v>310</v>
      </c>
      <c r="N85" s="42" t="s">
        <v>292</v>
      </c>
      <c r="O85" s="53" t="s">
        <v>11</v>
      </c>
      <c r="V85" s="85" t="s">
        <v>310</v>
      </c>
      <c r="W85" s="42" t="s">
        <v>292</v>
      </c>
      <c r="X85" s="53" t="s">
        <v>11</v>
      </c>
    </row>
    <row r="86" spans="4:24" x14ac:dyDescent="0.25">
      <c r="D86" s="85"/>
      <c r="E86" s="42" t="s">
        <v>299</v>
      </c>
      <c r="F86" s="1" t="s">
        <v>9</v>
      </c>
      <c r="M86" s="85"/>
      <c r="N86" s="42" t="s">
        <v>299</v>
      </c>
      <c r="O86" s="53" t="s">
        <v>11</v>
      </c>
      <c r="V86" s="85"/>
      <c r="W86" s="42" t="s">
        <v>299</v>
      </c>
      <c r="X86" s="53" t="s">
        <v>11</v>
      </c>
    </row>
    <row r="87" spans="4:24" x14ac:dyDescent="0.25">
      <c r="D87" s="85" t="s">
        <v>311</v>
      </c>
      <c r="E87" s="42" t="s">
        <v>291</v>
      </c>
      <c r="F87" s="1" t="s">
        <v>9</v>
      </c>
      <c r="M87" s="85" t="s">
        <v>311</v>
      </c>
      <c r="N87" s="42" t="s">
        <v>291</v>
      </c>
      <c r="O87" s="53" t="s">
        <v>11</v>
      </c>
      <c r="V87" s="85" t="s">
        <v>311</v>
      </c>
      <c r="W87" s="42" t="s">
        <v>291</v>
      </c>
      <c r="X87" s="53" t="s">
        <v>11</v>
      </c>
    </row>
    <row r="88" spans="4:24" x14ac:dyDescent="0.25">
      <c r="D88" s="85"/>
      <c r="E88" s="42" t="s">
        <v>293</v>
      </c>
      <c r="F88" s="1" t="s">
        <v>9</v>
      </c>
      <c r="M88" s="85"/>
      <c r="N88" s="42" t="s">
        <v>293</v>
      </c>
      <c r="O88" s="53" t="s">
        <v>11</v>
      </c>
      <c r="V88" s="85"/>
      <c r="W88" s="42" t="s">
        <v>293</v>
      </c>
      <c r="X88" s="53" t="s">
        <v>11</v>
      </c>
    </row>
    <row r="89" spans="4:24" x14ac:dyDescent="0.25">
      <c r="D89" s="85"/>
      <c r="E89" s="42" t="s">
        <v>289</v>
      </c>
      <c r="F89" s="1" t="s">
        <v>9</v>
      </c>
      <c r="M89" s="85"/>
      <c r="N89" s="42" t="s">
        <v>289</v>
      </c>
      <c r="O89" s="53" t="s">
        <v>11</v>
      </c>
      <c r="V89" s="85"/>
      <c r="W89" s="42" t="s">
        <v>289</v>
      </c>
      <c r="X89" s="53" t="s">
        <v>11</v>
      </c>
    </row>
    <row r="90" spans="4:24" x14ac:dyDescent="0.25">
      <c r="D90" s="85"/>
      <c r="E90" s="42" t="s">
        <v>295</v>
      </c>
      <c r="F90" s="1" t="s">
        <v>9</v>
      </c>
      <c r="M90" s="85"/>
      <c r="N90" s="42" t="s">
        <v>295</v>
      </c>
      <c r="O90" s="53" t="s">
        <v>11</v>
      </c>
      <c r="V90" s="85"/>
      <c r="W90" s="42" t="s">
        <v>295</v>
      </c>
      <c r="X90" s="53" t="s">
        <v>11</v>
      </c>
    </row>
    <row r="91" spans="4:24" x14ac:dyDescent="0.25">
      <c r="D91" s="85"/>
      <c r="E91" s="42" t="s">
        <v>288</v>
      </c>
      <c r="F91" s="1" t="s">
        <v>9</v>
      </c>
      <c r="M91" s="85"/>
      <c r="N91" s="42" t="s">
        <v>288</v>
      </c>
      <c r="O91" s="53" t="s">
        <v>11</v>
      </c>
      <c r="V91" s="85"/>
      <c r="W91" s="42" t="s">
        <v>288</v>
      </c>
      <c r="X91" s="53" t="s">
        <v>11</v>
      </c>
    </row>
    <row r="92" spans="4:24" x14ac:dyDescent="0.25">
      <c r="D92" s="85"/>
      <c r="E92" s="42" t="s">
        <v>290</v>
      </c>
      <c r="F92" s="1" t="s">
        <v>9</v>
      </c>
      <c r="M92" s="85"/>
      <c r="N92" s="42" t="s">
        <v>290</v>
      </c>
      <c r="O92" s="53" t="s">
        <v>11</v>
      </c>
      <c r="V92" s="85"/>
      <c r="W92" s="42" t="s">
        <v>290</v>
      </c>
      <c r="X92" s="53" t="s">
        <v>11</v>
      </c>
    </row>
    <row r="93" spans="4:24" x14ac:dyDescent="0.25">
      <c r="D93" s="47" t="s">
        <v>300</v>
      </c>
      <c r="E93" s="43" t="s">
        <v>6</v>
      </c>
      <c r="F93" s="1" t="s">
        <v>9</v>
      </c>
      <c r="M93" s="47" t="s">
        <v>300</v>
      </c>
      <c r="N93" s="43" t="s">
        <v>6</v>
      </c>
      <c r="O93" s="53" t="s">
        <v>11</v>
      </c>
      <c r="V93" s="47" t="s">
        <v>300</v>
      </c>
      <c r="W93" s="43" t="s">
        <v>6</v>
      </c>
      <c r="X93" s="53" t="s">
        <v>11</v>
      </c>
    </row>
    <row r="94" spans="4:24" x14ac:dyDescent="0.25">
      <c r="D94" s="47" t="s">
        <v>301</v>
      </c>
      <c r="E94" s="43" t="s">
        <v>6</v>
      </c>
      <c r="F94" s="1" t="s">
        <v>9</v>
      </c>
      <c r="M94" s="47" t="s">
        <v>301</v>
      </c>
      <c r="N94" s="43" t="s">
        <v>6</v>
      </c>
      <c r="O94" s="53" t="s">
        <v>11</v>
      </c>
      <c r="V94" s="47" t="s">
        <v>301</v>
      </c>
      <c r="W94" s="43" t="s">
        <v>6</v>
      </c>
      <c r="X94" s="53" t="s">
        <v>11</v>
      </c>
    </row>
    <row r="95" spans="4:24" x14ac:dyDescent="0.25">
      <c r="D95" s="48" t="s">
        <v>5</v>
      </c>
      <c r="E95" s="43" t="s">
        <v>6</v>
      </c>
      <c r="F95" s="1" t="s">
        <v>9</v>
      </c>
      <c r="M95" s="48" t="s">
        <v>5</v>
      </c>
      <c r="N95" s="43" t="s">
        <v>6</v>
      </c>
      <c r="O95" s="53" t="s">
        <v>11</v>
      </c>
      <c r="V95" s="48" t="s">
        <v>5</v>
      </c>
      <c r="W95" s="43" t="s">
        <v>6</v>
      </c>
      <c r="X95" s="53" t="s">
        <v>11</v>
      </c>
    </row>
    <row r="96" spans="4:24" x14ac:dyDescent="0.25">
      <c r="D96" s="85" t="s">
        <v>312</v>
      </c>
      <c r="E96" s="43" t="s">
        <v>285</v>
      </c>
      <c r="F96" s="1" t="s">
        <v>9</v>
      </c>
      <c r="M96" s="85" t="s">
        <v>312</v>
      </c>
      <c r="N96" s="43" t="s">
        <v>285</v>
      </c>
      <c r="O96" s="1" t="s">
        <v>9</v>
      </c>
      <c r="V96" s="85" t="s">
        <v>312</v>
      </c>
      <c r="W96" s="43" t="s">
        <v>285</v>
      </c>
      <c r="X96" s="53" t="s">
        <v>11</v>
      </c>
    </row>
    <row r="97" spans="4:24" x14ac:dyDescent="0.25">
      <c r="D97" s="85"/>
      <c r="E97" s="43" t="s">
        <v>294</v>
      </c>
      <c r="F97" s="1" t="s">
        <v>9</v>
      </c>
      <c r="M97" s="85"/>
      <c r="N97" s="43" t="s">
        <v>294</v>
      </c>
      <c r="O97" s="1" t="s">
        <v>9</v>
      </c>
      <c r="V97" s="85"/>
      <c r="W97" s="43" t="s">
        <v>294</v>
      </c>
      <c r="X97" s="53" t="s">
        <v>11</v>
      </c>
    </row>
    <row r="98" spans="4:24" x14ac:dyDescent="0.25">
      <c r="D98" s="85"/>
      <c r="E98" s="43" t="s">
        <v>314</v>
      </c>
      <c r="F98" s="1" t="s">
        <v>9</v>
      </c>
      <c r="M98" s="85"/>
      <c r="N98" s="43" t="s">
        <v>314</v>
      </c>
      <c r="O98" s="1" t="s">
        <v>9</v>
      </c>
      <c r="V98" s="85"/>
      <c r="W98" s="43" t="s">
        <v>314</v>
      </c>
      <c r="X98" s="53" t="s">
        <v>11</v>
      </c>
    </row>
    <row r="99" spans="4:24" x14ac:dyDescent="0.25">
      <c r="D99" s="85"/>
      <c r="E99" s="43" t="s">
        <v>297</v>
      </c>
      <c r="F99" s="1" t="s">
        <v>9</v>
      </c>
      <c r="M99" s="85"/>
      <c r="N99" s="43" t="s">
        <v>297</v>
      </c>
      <c r="O99" s="1" t="s">
        <v>9</v>
      </c>
      <c r="V99" s="85"/>
      <c r="W99" s="43" t="s">
        <v>297</v>
      </c>
      <c r="X99" s="53" t="s">
        <v>11</v>
      </c>
    </row>
    <row r="100" spans="4:24" x14ac:dyDescent="0.25">
      <c r="D100" s="85"/>
      <c r="E100" s="43" t="s">
        <v>288</v>
      </c>
      <c r="F100" s="1" t="s">
        <v>9</v>
      </c>
      <c r="M100" s="85"/>
      <c r="N100" s="43" t="s">
        <v>288</v>
      </c>
      <c r="O100" s="1" t="s">
        <v>9</v>
      </c>
      <c r="V100" s="85"/>
      <c r="W100" s="43" t="s">
        <v>288</v>
      </c>
      <c r="X100" s="53" t="s">
        <v>11</v>
      </c>
    </row>
    <row r="101" spans="4:24" x14ac:dyDescent="0.25">
      <c r="D101" s="85"/>
      <c r="E101" s="43" t="s">
        <v>295</v>
      </c>
      <c r="F101" s="1" t="s">
        <v>9</v>
      </c>
      <c r="M101" s="85"/>
      <c r="N101" s="43" t="s">
        <v>295</v>
      </c>
      <c r="O101" s="1" t="s">
        <v>9</v>
      </c>
      <c r="V101" s="85"/>
      <c r="W101" s="43" t="s">
        <v>295</v>
      </c>
      <c r="X101" s="53" t="s">
        <v>11</v>
      </c>
    </row>
    <row r="102" spans="4:24" x14ac:dyDescent="0.25">
      <c r="D102" s="85" t="s">
        <v>313</v>
      </c>
      <c r="E102" s="43" t="s">
        <v>285</v>
      </c>
      <c r="F102" s="1" t="s">
        <v>9</v>
      </c>
      <c r="M102" s="85" t="s">
        <v>313</v>
      </c>
      <c r="N102" s="43" t="s">
        <v>285</v>
      </c>
      <c r="O102" s="1" t="s">
        <v>9</v>
      </c>
      <c r="V102" s="85" t="s">
        <v>313</v>
      </c>
      <c r="W102" s="43" t="s">
        <v>285</v>
      </c>
      <c r="X102" s="53" t="s">
        <v>11</v>
      </c>
    </row>
    <row r="103" spans="4:24" x14ac:dyDescent="0.25">
      <c r="D103" s="85"/>
      <c r="E103" s="43" t="s">
        <v>294</v>
      </c>
      <c r="F103" s="1" t="s">
        <v>9</v>
      </c>
      <c r="M103" s="85"/>
      <c r="N103" s="43" t="s">
        <v>294</v>
      </c>
      <c r="O103" s="1" t="s">
        <v>9</v>
      </c>
      <c r="V103" s="85"/>
      <c r="W103" s="43" t="s">
        <v>294</v>
      </c>
      <c r="X103" s="53" t="s">
        <v>11</v>
      </c>
    </row>
  </sheetData>
  <mergeCells count="78">
    <mergeCell ref="X16:AC16"/>
    <mergeCell ref="D16:E16"/>
    <mergeCell ref="F16:K16"/>
    <mergeCell ref="M16:N16"/>
    <mergeCell ref="O16:T16"/>
    <mergeCell ref="V16:W16"/>
    <mergeCell ref="D17:D18"/>
    <mergeCell ref="F17:H17"/>
    <mergeCell ref="I17:K17"/>
    <mergeCell ref="M17:M18"/>
    <mergeCell ref="O17:Q17"/>
    <mergeCell ref="AA19:AC19"/>
    <mergeCell ref="V17:V18"/>
    <mergeCell ref="X17:Z17"/>
    <mergeCell ref="AA17:AC17"/>
    <mergeCell ref="F18:H18"/>
    <mergeCell ref="I18:K18"/>
    <mergeCell ref="O18:Q18"/>
    <mergeCell ref="R18:T18"/>
    <mergeCell ref="X18:Z18"/>
    <mergeCell ref="AA18:AC18"/>
    <mergeCell ref="R17:T17"/>
    <mergeCell ref="F19:H19"/>
    <mergeCell ref="I19:K19"/>
    <mergeCell ref="O19:Q19"/>
    <mergeCell ref="R19:T19"/>
    <mergeCell ref="X19:Z19"/>
    <mergeCell ref="AA21:AC21"/>
    <mergeCell ref="F20:H20"/>
    <mergeCell ref="I20:K20"/>
    <mergeCell ref="O20:Q20"/>
    <mergeCell ref="R20:T20"/>
    <mergeCell ref="X20:Z20"/>
    <mergeCell ref="AA20:AC20"/>
    <mergeCell ref="F21:H21"/>
    <mergeCell ref="I21:K21"/>
    <mergeCell ref="O21:Q21"/>
    <mergeCell ref="R21:T21"/>
    <mergeCell ref="X21:Z21"/>
    <mergeCell ref="D22:E22"/>
    <mergeCell ref="M22:N22"/>
    <mergeCell ref="V22:W22"/>
    <mergeCell ref="D24:D35"/>
    <mergeCell ref="M24:M35"/>
    <mergeCell ref="V24:V35"/>
    <mergeCell ref="D36:D43"/>
    <mergeCell ref="M36:M43"/>
    <mergeCell ref="V36:V43"/>
    <mergeCell ref="D44:D47"/>
    <mergeCell ref="M44:M47"/>
    <mergeCell ref="V44:V47"/>
    <mergeCell ref="D52:D57"/>
    <mergeCell ref="M52:M57"/>
    <mergeCell ref="V52:V57"/>
    <mergeCell ref="D58:D59"/>
    <mergeCell ref="M58:M59"/>
    <mergeCell ref="V58:V59"/>
    <mergeCell ref="D69:D70"/>
    <mergeCell ref="M69:M70"/>
    <mergeCell ref="V69:V70"/>
    <mergeCell ref="D71:D72"/>
    <mergeCell ref="M71:M72"/>
    <mergeCell ref="V71:V72"/>
    <mergeCell ref="D73:D84"/>
    <mergeCell ref="M73:M84"/>
    <mergeCell ref="V73:V84"/>
    <mergeCell ref="D85:D86"/>
    <mergeCell ref="M85:M86"/>
    <mergeCell ref="V85:V86"/>
    <mergeCell ref="D102:D103"/>
    <mergeCell ref="M102:M103"/>
    <mergeCell ref="V102:V103"/>
    <mergeCell ref="D87:D92"/>
    <mergeCell ref="M87:M92"/>
    <mergeCell ref="V87:V92"/>
    <mergeCell ref="D96:D101"/>
    <mergeCell ref="M96:M101"/>
    <mergeCell ref="V96:V101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P101"/>
  <sheetViews>
    <sheetView zoomScaleNormal="100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326</v>
      </c>
    </row>
    <row r="5" spans="2:11" x14ac:dyDescent="0.25">
      <c r="C5" s="1" t="s">
        <v>9</v>
      </c>
      <c r="D5" t="s">
        <v>323</v>
      </c>
    </row>
    <row r="11" spans="2:11" s="82" customFormat="1" ht="15.75" x14ac:dyDescent="0.25">
      <c r="B11" s="54" t="s">
        <v>327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273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93" t="s">
        <v>0</v>
      </c>
      <c r="E15" s="93"/>
      <c r="F15" s="92" t="s">
        <v>715</v>
      </c>
      <c r="G15" s="92"/>
      <c r="H15" s="92"/>
      <c r="I15" s="92"/>
      <c r="J15" s="92"/>
      <c r="K15" s="92"/>
    </row>
    <row r="16" spans="2:11" x14ac:dyDescent="0.25">
      <c r="D16" s="87" t="s">
        <v>1</v>
      </c>
      <c r="E16" s="42" t="s">
        <v>283</v>
      </c>
      <c r="F16" s="95" t="s">
        <v>8</v>
      </c>
      <c r="G16" s="96"/>
      <c r="H16" s="97"/>
      <c r="I16" s="95" t="s">
        <v>302</v>
      </c>
      <c r="J16" s="96"/>
      <c r="K16" s="97"/>
    </row>
    <row r="17" spans="4:1160" x14ac:dyDescent="0.25">
      <c r="D17" s="88"/>
      <c r="E17" s="42" t="s">
        <v>282</v>
      </c>
      <c r="F17" s="86" t="s">
        <v>716</v>
      </c>
      <c r="G17" s="86"/>
      <c r="H17" s="86"/>
      <c r="I17" s="94" t="s">
        <v>716</v>
      </c>
      <c r="J17" s="94"/>
      <c r="K17" s="94"/>
      <c r="L17" s="21"/>
    </row>
    <row r="18" spans="4:1160" x14ac:dyDescent="0.25">
      <c r="D18" s="77" t="s">
        <v>277</v>
      </c>
      <c r="E18" s="42" t="s">
        <v>283</v>
      </c>
      <c r="F18" s="86" t="s">
        <v>717</v>
      </c>
      <c r="G18" s="86"/>
      <c r="H18" s="86"/>
      <c r="I18" s="94" t="s">
        <v>717</v>
      </c>
      <c r="J18" s="94"/>
      <c r="K18" s="94"/>
      <c r="L18" s="21"/>
    </row>
    <row r="19" spans="4:1160" x14ac:dyDescent="0.25">
      <c r="D19" s="77" t="s">
        <v>278</v>
      </c>
      <c r="E19" s="42" t="s">
        <v>282</v>
      </c>
      <c r="F19" s="86" t="s">
        <v>718</v>
      </c>
      <c r="G19" s="86"/>
      <c r="H19" s="86"/>
      <c r="I19" s="94" t="s">
        <v>718</v>
      </c>
      <c r="J19" s="94"/>
      <c r="K19" s="94"/>
      <c r="L19" s="21"/>
    </row>
    <row r="20" spans="4:1160" x14ac:dyDescent="0.25">
      <c r="D20" s="77" t="s">
        <v>279</v>
      </c>
      <c r="E20" s="42" t="s">
        <v>282</v>
      </c>
      <c r="F20" s="86" t="s">
        <v>719</v>
      </c>
      <c r="G20" s="86"/>
      <c r="H20" s="86"/>
      <c r="I20" s="94" t="s">
        <v>719</v>
      </c>
      <c r="J20" s="94"/>
      <c r="K20" s="94"/>
      <c r="L20" s="21"/>
    </row>
    <row r="21" spans="4:1160" s="45" customFormat="1" ht="45" x14ac:dyDescent="0.25">
      <c r="D21" s="85" t="s">
        <v>2</v>
      </c>
      <c r="E21" s="85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</row>
    <row r="22" spans="4:1160" x14ac:dyDescent="0.25">
      <c r="D22" s="77" t="s">
        <v>280</v>
      </c>
      <c r="E22" s="42" t="s">
        <v>284</v>
      </c>
      <c r="F22" s="1" t="s">
        <v>9</v>
      </c>
      <c r="G22" s="2" t="s">
        <v>9</v>
      </c>
      <c r="H22" s="78" t="s">
        <v>720</v>
      </c>
      <c r="I22" s="1" t="s">
        <v>9</v>
      </c>
      <c r="J22" s="1" t="s">
        <v>9</v>
      </c>
      <c r="K22" s="78" t="s">
        <v>720</v>
      </c>
      <c r="L22" s="21"/>
    </row>
    <row r="23" spans="4:1160" x14ac:dyDescent="0.25">
      <c r="D23" s="85" t="s">
        <v>281</v>
      </c>
      <c r="E23" s="42" t="s">
        <v>285</v>
      </c>
      <c r="F23" s="1" t="s">
        <v>9</v>
      </c>
      <c r="G23" s="2" t="s">
        <v>9</v>
      </c>
      <c r="H23" s="78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8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160" x14ac:dyDescent="0.25">
      <c r="D24" s="85"/>
      <c r="E24" s="42" t="s">
        <v>286</v>
      </c>
      <c r="F24" s="1" t="s">
        <v>9</v>
      </c>
      <c r="G24" s="2" t="s">
        <v>9</v>
      </c>
      <c r="H24" s="78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8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160" x14ac:dyDescent="0.25">
      <c r="D25" s="85"/>
      <c r="E25" s="42" t="s">
        <v>294</v>
      </c>
      <c r="F25" s="1" t="s">
        <v>9</v>
      </c>
      <c r="G25" s="2" t="s">
        <v>9</v>
      </c>
      <c r="H25" s="78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8" t="str">
        <f t="shared" si="1"/>
        <v>/VectoCustomerInformation/Data/Results/Result/Total/Fuel/FuelConsumption[@unit='g/p-km']</v>
      </c>
      <c r="L25" s="21"/>
    </row>
    <row r="26" spans="4:1160" x14ac:dyDescent="0.25">
      <c r="D26" s="85"/>
      <c r="E26" s="42" t="s">
        <v>287</v>
      </c>
      <c r="F26" s="1" t="s">
        <v>9</v>
      </c>
      <c r="G26" s="2" t="s">
        <v>9</v>
      </c>
      <c r="H26" s="78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8" t="str">
        <f t="shared" si="1"/>
        <v>/VectoCustomerInformation/Data/Results/Result/Total/Fuel/FuelConsumption[@unit='g/m³-km']</v>
      </c>
      <c r="L26" s="36"/>
    </row>
    <row r="27" spans="4:1160" x14ac:dyDescent="0.25">
      <c r="D27" s="85"/>
      <c r="E27" s="42" t="s">
        <v>314</v>
      </c>
      <c r="F27" s="1" t="s">
        <v>9</v>
      </c>
      <c r="G27" s="2" t="s">
        <v>9</v>
      </c>
      <c r="H27" s="78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8" t="str">
        <f t="shared" si="1"/>
        <v>/VectoCustomerInformation/Data/Results/Result/Total/Fuel/FuelConsumption[@unit='l/100km']</v>
      </c>
      <c r="L27" s="33"/>
    </row>
    <row r="28" spans="4:1160" x14ac:dyDescent="0.25">
      <c r="D28" s="85"/>
      <c r="E28" s="42" t="s">
        <v>296</v>
      </c>
      <c r="F28" s="1" t="s">
        <v>9</v>
      </c>
      <c r="G28" s="2" t="s">
        <v>9</v>
      </c>
      <c r="H28" s="78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8" t="str">
        <f t="shared" si="1"/>
        <v>/VectoCustomerInformation/Data/Results/Result/Total/Fuel/FuelConsumption[@unit='l/t-km']</v>
      </c>
      <c r="L28" s="33"/>
    </row>
    <row r="29" spans="4:1160" x14ac:dyDescent="0.25">
      <c r="D29" s="85"/>
      <c r="E29" s="42" t="s">
        <v>297</v>
      </c>
      <c r="F29" s="1" t="s">
        <v>9</v>
      </c>
      <c r="G29" s="2" t="s">
        <v>9</v>
      </c>
      <c r="H29" s="78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8" t="str">
        <f t="shared" si="1"/>
        <v>/VectoCustomerInformation/Data/Results/Result/Total/Fuel/FuelConsumption[@unit='l/p-km']</v>
      </c>
      <c r="L29" s="33"/>
    </row>
    <row r="30" spans="4:1160" x14ac:dyDescent="0.25">
      <c r="D30" s="85"/>
      <c r="E30" s="42" t="s">
        <v>298</v>
      </c>
      <c r="F30" s="1" t="s">
        <v>9</v>
      </c>
      <c r="G30" s="2" t="s">
        <v>9</v>
      </c>
      <c r="H30" s="78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8" t="str">
        <f t="shared" si="1"/>
        <v>/VectoCustomerInformation/Data/Results/Result/Total/Fuel/FuelConsumption[@unit='l/m³-km']</v>
      </c>
      <c r="L30" s="33"/>
    </row>
    <row r="31" spans="4:1160" x14ac:dyDescent="0.25">
      <c r="D31" s="85"/>
      <c r="E31" s="42" t="s">
        <v>288</v>
      </c>
      <c r="F31" s="1" t="s">
        <v>9</v>
      </c>
      <c r="G31" s="2" t="s">
        <v>9</v>
      </c>
      <c r="H31" s="78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8" t="str">
        <f t="shared" si="1"/>
        <v>/VectoCustomerInformation/Data/Results/Result/Total/Fuel/FuelConsumption[@unit='MJ/km']</v>
      </c>
      <c r="L31" s="33"/>
    </row>
    <row r="32" spans="4:1160" x14ac:dyDescent="0.25">
      <c r="D32" s="85"/>
      <c r="E32" s="42" t="s">
        <v>289</v>
      </c>
      <c r="F32" s="1" t="s">
        <v>9</v>
      </c>
      <c r="G32" s="2" t="s">
        <v>9</v>
      </c>
      <c r="H32" s="78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8" t="str">
        <f t="shared" si="1"/>
        <v>/VectoCustomerInformation/Data/Results/Result/Total/Fuel/FuelConsumption[@unit='MJ/t-km']</v>
      </c>
      <c r="L32" s="33"/>
    </row>
    <row r="33" spans="4:12" x14ac:dyDescent="0.25">
      <c r="D33" s="85"/>
      <c r="E33" s="42" t="s">
        <v>295</v>
      </c>
      <c r="F33" s="1" t="s">
        <v>9</v>
      </c>
      <c r="G33" s="2" t="s">
        <v>9</v>
      </c>
      <c r="H33" s="78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8" t="str">
        <f t="shared" si="1"/>
        <v>/VectoCustomerInformation/Data/Results/Result/Total/Fuel/FuelConsumption[@unit='MJ/p-km']</v>
      </c>
      <c r="L33" s="33"/>
    </row>
    <row r="34" spans="4:12" x14ac:dyDescent="0.25">
      <c r="D34" s="85"/>
      <c r="E34" s="42" t="s">
        <v>290</v>
      </c>
      <c r="F34" s="1" t="s">
        <v>9</v>
      </c>
      <c r="G34" s="2" t="s">
        <v>9</v>
      </c>
      <c r="H34" s="78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8" t="str">
        <f t="shared" si="1"/>
        <v>/VectoCustomerInformation/Data/Results/Result/Total/Fuel/FuelConsumption[@unit='MJ/m³-km']</v>
      </c>
      <c r="L34" s="33"/>
    </row>
    <row r="35" spans="4:12" x14ac:dyDescent="0.25">
      <c r="D35" s="85" t="s">
        <v>4</v>
      </c>
      <c r="E35" s="42" t="s">
        <v>291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85"/>
      <c r="E36" s="42" t="s">
        <v>292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85"/>
      <c r="E37" s="42" t="s">
        <v>299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85"/>
      <c r="E38" s="42" t="s">
        <v>293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85"/>
      <c r="E39" s="42" t="s">
        <v>288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85"/>
      <c r="E40" s="42" t="s">
        <v>289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85"/>
      <c r="E41" s="42" t="s">
        <v>295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85"/>
      <c r="E42" s="42" t="s">
        <v>290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85" t="s">
        <v>3</v>
      </c>
      <c r="E43" s="42" t="s">
        <v>285</v>
      </c>
      <c r="F43" s="1" t="s">
        <v>9</v>
      </c>
      <c r="G43" s="2" t="s">
        <v>9</v>
      </c>
      <c r="H43" s="78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8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85"/>
      <c r="E44" s="42" t="s">
        <v>286</v>
      </c>
      <c r="F44" s="1" t="s">
        <v>9</v>
      </c>
      <c r="G44" s="2" t="s">
        <v>9</v>
      </c>
      <c r="H44" s="78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8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85"/>
      <c r="E45" s="42" t="s">
        <v>294</v>
      </c>
      <c r="F45" s="1" t="s">
        <v>9</v>
      </c>
      <c r="G45" s="2" t="s">
        <v>9</v>
      </c>
      <c r="H45" s="78" t="str">
        <f t="shared" si="2"/>
        <v>/VectoCustomerInformation/Data/Results/Result/Total/CO2[@unit='g/p-km']</v>
      </c>
      <c r="I45" s="1" t="s">
        <v>9</v>
      </c>
      <c r="J45" s="2" t="s">
        <v>9</v>
      </c>
      <c r="K45" s="78" t="str">
        <f t="shared" si="3"/>
        <v>/VectoCustomerInformation/Data/Results/Result/Total/CO2[@unit='g/p-km']</v>
      </c>
    </row>
    <row r="46" spans="4:12" x14ac:dyDescent="0.25">
      <c r="D46" s="85"/>
      <c r="E46" s="42" t="s">
        <v>287</v>
      </c>
      <c r="F46" s="1" t="s">
        <v>9</v>
      </c>
      <c r="G46" s="2" t="s">
        <v>9</v>
      </c>
      <c r="H46" s="78" t="str">
        <f t="shared" si="2"/>
        <v>/VectoCustomerInformation/Data/Results/Result/Total/CO2[@unit='g/m³-km']</v>
      </c>
      <c r="I46" s="1" t="s">
        <v>9</v>
      </c>
      <c r="J46" s="2" t="s">
        <v>9</v>
      </c>
      <c r="K46" s="78" t="str">
        <f t="shared" si="3"/>
        <v>/VectoCustomerInformation/Data/Results/Result/Total/CO2[@unit='g/m³-km']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1" x14ac:dyDescent="0.25">
      <c r="D50" s="48" t="s">
        <v>325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85" t="s">
        <v>312</v>
      </c>
      <c r="E51" s="43" t="s">
        <v>285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85"/>
      <c r="E52" s="43" t="s">
        <v>294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85"/>
      <c r="E53" s="43" t="s">
        <v>314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85"/>
      <c r="E54" s="43" t="s">
        <v>297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85"/>
      <c r="E55" s="43" t="s">
        <v>288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85"/>
      <c r="E56" s="43" t="s">
        <v>295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85" t="s">
        <v>313</v>
      </c>
      <c r="E57" s="43" t="s">
        <v>285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85"/>
      <c r="E58" s="43" t="s">
        <v>294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273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7" t="s">
        <v>303</v>
      </c>
      <c r="E65" s="42" t="s">
        <v>304</v>
      </c>
      <c r="F65" s="78" t="s">
        <v>727</v>
      </c>
    </row>
    <row r="66" spans="4:6" x14ac:dyDescent="0.25">
      <c r="D66" s="77" t="s">
        <v>305</v>
      </c>
      <c r="E66" s="42" t="s">
        <v>283</v>
      </c>
      <c r="F66" s="78" t="s">
        <v>728</v>
      </c>
    </row>
    <row r="67" spans="4:6" x14ac:dyDescent="0.25">
      <c r="D67" s="85" t="s">
        <v>307</v>
      </c>
      <c r="E67" s="42" t="s">
        <v>306</v>
      </c>
      <c r="F67" s="78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85"/>
      <c r="E68" s="42" t="s">
        <v>308</v>
      </c>
      <c r="F68" s="78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85" t="s">
        <v>309</v>
      </c>
      <c r="E69" s="42" t="s">
        <v>285</v>
      </c>
      <c r="F69" s="78" t="str">
        <f t="shared" si="4"/>
        <v>/VectoCustomerInformation/Data/Results/Summary/CO2[@unit='g/km']</v>
      </c>
    </row>
    <row r="70" spans="4:6" x14ac:dyDescent="0.25">
      <c r="D70" s="85"/>
      <c r="E70" s="42" t="s">
        <v>287</v>
      </c>
      <c r="F70" s="78" t="str">
        <f t="shared" si="4"/>
        <v>/VectoCustomerInformation/Data/Results/Summary/CO2[@unit='g/m³-km']</v>
      </c>
    </row>
    <row r="71" spans="4:6" x14ac:dyDescent="0.25">
      <c r="D71" s="85" t="s">
        <v>281</v>
      </c>
      <c r="E71" s="42" t="s">
        <v>285</v>
      </c>
      <c r="F71" s="78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85"/>
      <c r="E72" s="42" t="s">
        <v>286</v>
      </c>
      <c r="F72" s="78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85"/>
      <c r="E73" s="42" t="s">
        <v>294</v>
      </c>
      <c r="F73" s="78" t="str">
        <f t="shared" si="5"/>
        <v>/VectoCustomerInformation/Data/Results/Summary/Fuel/FuelConsumption[@unit='g/p-km']</v>
      </c>
    </row>
    <row r="74" spans="4:6" x14ac:dyDescent="0.25">
      <c r="D74" s="85"/>
      <c r="E74" s="42" t="s">
        <v>287</v>
      </c>
      <c r="F74" s="78" t="str">
        <f t="shared" si="5"/>
        <v>/VectoCustomerInformation/Data/Results/Summary/Fuel/FuelConsumption[@unit='g/m³-km']</v>
      </c>
    </row>
    <row r="75" spans="4:6" x14ac:dyDescent="0.25">
      <c r="D75" s="85"/>
      <c r="E75" s="42" t="s">
        <v>314</v>
      </c>
      <c r="F75" s="78" t="str">
        <f t="shared" si="5"/>
        <v>/VectoCustomerInformation/Data/Results/Summary/Fuel/FuelConsumption[@unit='l/100km']</v>
      </c>
    </row>
    <row r="76" spans="4:6" x14ac:dyDescent="0.25">
      <c r="D76" s="85"/>
      <c r="E76" s="42" t="s">
        <v>296</v>
      </c>
      <c r="F76" s="78" t="str">
        <f t="shared" si="5"/>
        <v>/VectoCustomerInformation/Data/Results/Summary/Fuel/FuelConsumption[@unit='l/t-km']</v>
      </c>
    </row>
    <row r="77" spans="4:6" x14ac:dyDescent="0.25">
      <c r="D77" s="85"/>
      <c r="E77" s="42" t="s">
        <v>297</v>
      </c>
      <c r="F77" s="78" t="str">
        <f t="shared" si="5"/>
        <v>/VectoCustomerInformation/Data/Results/Summary/Fuel/FuelConsumption[@unit='l/p-km']</v>
      </c>
    </row>
    <row r="78" spans="4:6" x14ac:dyDescent="0.25">
      <c r="D78" s="85"/>
      <c r="E78" s="42" t="s">
        <v>298</v>
      </c>
      <c r="F78" s="78" t="str">
        <f t="shared" si="5"/>
        <v>/VectoCustomerInformation/Data/Results/Summary/Fuel/FuelConsumption[@unit='l/m³-km']</v>
      </c>
    </row>
    <row r="79" spans="4:6" x14ac:dyDescent="0.25">
      <c r="D79" s="85"/>
      <c r="E79" s="42" t="s">
        <v>288</v>
      </c>
      <c r="F79" s="78" t="str">
        <f t="shared" si="5"/>
        <v>/VectoCustomerInformation/Data/Results/Summary/Fuel/FuelConsumption[@unit='MJ/km']</v>
      </c>
    </row>
    <row r="80" spans="4:6" x14ac:dyDescent="0.25">
      <c r="D80" s="85"/>
      <c r="E80" s="42" t="s">
        <v>289</v>
      </c>
      <c r="F80" s="78" t="str">
        <f t="shared" si="5"/>
        <v>/VectoCustomerInformation/Data/Results/Summary/Fuel/FuelConsumption[@unit='MJ/t-km']</v>
      </c>
    </row>
    <row r="81" spans="4:6" x14ac:dyDescent="0.25">
      <c r="D81" s="85"/>
      <c r="E81" s="42" t="s">
        <v>295</v>
      </c>
      <c r="F81" s="78" t="str">
        <f t="shared" si="5"/>
        <v>/VectoCustomerInformation/Data/Results/Summary/Fuel/FuelConsumption[@unit='MJ/p-km']</v>
      </c>
    </row>
    <row r="82" spans="4:6" x14ac:dyDescent="0.25">
      <c r="D82" s="85"/>
      <c r="E82" s="42" t="s">
        <v>290</v>
      </c>
      <c r="F82" s="78" t="str">
        <f t="shared" si="5"/>
        <v>/VectoCustomerInformation/Data/Results/Summary/Fuel/FuelConsumption[@unit='MJ/m³-km']</v>
      </c>
    </row>
    <row r="83" spans="4:6" x14ac:dyDescent="0.25">
      <c r="D83" s="85" t="s">
        <v>310</v>
      </c>
      <c r="E83" s="42" t="s">
        <v>292</v>
      </c>
      <c r="F83" s="1" t="s">
        <v>9</v>
      </c>
    </row>
    <row r="84" spans="4:6" x14ac:dyDescent="0.25">
      <c r="D84" s="85"/>
      <c r="E84" s="42" t="s">
        <v>299</v>
      </c>
      <c r="F84" s="1" t="s">
        <v>9</v>
      </c>
    </row>
    <row r="85" spans="4:6" x14ac:dyDescent="0.25">
      <c r="D85" s="85" t="s">
        <v>311</v>
      </c>
      <c r="E85" s="42" t="s">
        <v>291</v>
      </c>
      <c r="F85" s="1" t="s">
        <v>9</v>
      </c>
    </row>
    <row r="86" spans="4:6" x14ac:dyDescent="0.25">
      <c r="D86" s="85"/>
      <c r="E86" s="42" t="s">
        <v>293</v>
      </c>
      <c r="F86" s="1" t="s">
        <v>9</v>
      </c>
    </row>
    <row r="87" spans="4:6" x14ac:dyDescent="0.25">
      <c r="D87" s="85"/>
      <c r="E87" s="42" t="s">
        <v>289</v>
      </c>
      <c r="F87" s="1" t="s">
        <v>9</v>
      </c>
    </row>
    <row r="88" spans="4:6" x14ac:dyDescent="0.25">
      <c r="D88" s="85"/>
      <c r="E88" s="42" t="s">
        <v>295</v>
      </c>
      <c r="F88" s="1" t="s">
        <v>9</v>
      </c>
    </row>
    <row r="89" spans="4:6" x14ac:dyDescent="0.25">
      <c r="D89" s="85"/>
      <c r="E89" s="42" t="s">
        <v>288</v>
      </c>
      <c r="F89" s="1" t="s">
        <v>9</v>
      </c>
    </row>
    <row r="90" spans="4:6" x14ac:dyDescent="0.25">
      <c r="D90" s="85"/>
      <c r="E90" s="42" t="s">
        <v>290</v>
      </c>
      <c r="F90" s="1" t="s">
        <v>9</v>
      </c>
    </row>
    <row r="91" spans="4:6" x14ac:dyDescent="0.25">
      <c r="D91" s="77" t="s">
        <v>300</v>
      </c>
      <c r="E91" s="43" t="s">
        <v>6</v>
      </c>
      <c r="F91" s="1" t="s">
        <v>9</v>
      </c>
    </row>
    <row r="92" spans="4:6" x14ac:dyDescent="0.25">
      <c r="D92" s="77" t="s">
        <v>301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85" t="s">
        <v>312</v>
      </c>
      <c r="E94" s="43" t="s">
        <v>285</v>
      </c>
      <c r="F94" s="1" t="s">
        <v>9</v>
      </c>
    </row>
    <row r="95" spans="4:6" x14ac:dyDescent="0.25">
      <c r="D95" s="85"/>
      <c r="E95" s="43" t="s">
        <v>294</v>
      </c>
      <c r="F95" s="1" t="s">
        <v>9</v>
      </c>
    </row>
    <row r="96" spans="4:6" x14ac:dyDescent="0.25">
      <c r="D96" s="85"/>
      <c r="E96" s="43" t="s">
        <v>314</v>
      </c>
      <c r="F96" s="1" t="s">
        <v>9</v>
      </c>
    </row>
    <row r="97" spans="4:6" x14ac:dyDescent="0.25">
      <c r="D97" s="85"/>
      <c r="E97" s="43" t="s">
        <v>297</v>
      </c>
      <c r="F97" s="1" t="s">
        <v>9</v>
      </c>
    </row>
    <row r="98" spans="4:6" x14ac:dyDescent="0.25">
      <c r="D98" s="85"/>
      <c r="E98" s="43" t="s">
        <v>288</v>
      </c>
      <c r="F98" s="1" t="s">
        <v>9</v>
      </c>
    </row>
    <row r="99" spans="4:6" x14ac:dyDescent="0.25">
      <c r="D99" s="85"/>
      <c r="E99" s="43" t="s">
        <v>295</v>
      </c>
      <c r="F99" s="1" t="s">
        <v>9</v>
      </c>
    </row>
    <row r="100" spans="4:6" x14ac:dyDescent="0.25">
      <c r="D100" s="85" t="s">
        <v>313</v>
      </c>
      <c r="E100" s="43" t="s">
        <v>285</v>
      </c>
      <c r="F100" s="1" t="s">
        <v>9</v>
      </c>
    </row>
    <row r="101" spans="4:6" x14ac:dyDescent="0.25">
      <c r="D101" s="85"/>
      <c r="E101" s="43" t="s">
        <v>294</v>
      </c>
      <c r="F101" s="1" t="s">
        <v>9</v>
      </c>
    </row>
  </sheetData>
  <mergeCells count="26">
    <mergeCell ref="D100:D101"/>
    <mergeCell ref="D85:D90"/>
    <mergeCell ref="D94:D99"/>
    <mergeCell ref="D71:D82"/>
    <mergeCell ref="D83:D84"/>
    <mergeCell ref="D67:D68"/>
    <mergeCell ref="D69:D70"/>
    <mergeCell ref="D51:D56"/>
    <mergeCell ref="D57:D58"/>
    <mergeCell ref="D35:D42"/>
    <mergeCell ref="D43:D46"/>
    <mergeCell ref="D21:E21"/>
    <mergeCell ref="D23:D34"/>
    <mergeCell ref="F20:H20"/>
    <mergeCell ref="I20:K20"/>
    <mergeCell ref="F19:H19"/>
    <mergeCell ref="I19:K19"/>
    <mergeCell ref="D15:E15"/>
    <mergeCell ref="F15:K15"/>
    <mergeCell ref="F18:H18"/>
    <mergeCell ref="I18:K18"/>
    <mergeCell ref="F17:H17"/>
    <mergeCell ref="I17:K17"/>
    <mergeCell ref="D16:D17"/>
    <mergeCell ref="F16:H16"/>
    <mergeCell ref="I16:K16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1"/>
  <sheetViews>
    <sheetView zoomScaleNormal="100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  <c r="M2" s="81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326</v>
      </c>
      <c r="M4" s="49"/>
    </row>
    <row r="5" spans="2:13" ht="15.75" x14ac:dyDescent="0.25">
      <c r="C5" s="1" t="s">
        <v>9</v>
      </c>
      <c r="D5" t="s">
        <v>323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2" customFormat="1" ht="15.75" x14ac:dyDescent="0.25">
      <c r="B11" s="54" t="s">
        <v>327</v>
      </c>
      <c r="C11" s="54"/>
      <c r="D11" s="54"/>
      <c r="E11" s="54"/>
      <c r="F11" s="54"/>
      <c r="G11" s="54"/>
      <c r="H11" s="54"/>
      <c r="I11" s="54"/>
      <c r="J11" s="54"/>
      <c r="K11" s="54"/>
      <c r="M11" s="81"/>
    </row>
    <row r="13" spans="2:13" ht="16.5" x14ac:dyDescent="0.3">
      <c r="C13" s="57" t="s">
        <v>274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93" t="s">
        <v>0</v>
      </c>
      <c r="E15" s="93"/>
      <c r="F15" s="92" t="s">
        <v>715</v>
      </c>
      <c r="G15" s="92"/>
      <c r="H15" s="92"/>
      <c r="I15" s="92"/>
      <c r="J15" s="92"/>
      <c r="K15" s="92"/>
    </row>
    <row r="16" spans="2:13" x14ac:dyDescent="0.25">
      <c r="D16" s="87" t="s">
        <v>1</v>
      </c>
      <c r="E16" s="42" t="s">
        <v>283</v>
      </c>
      <c r="F16" s="98" t="s">
        <v>8</v>
      </c>
      <c r="G16" s="99"/>
      <c r="H16" s="100"/>
      <c r="I16" s="98" t="s">
        <v>302</v>
      </c>
      <c r="J16" s="99"/>
      <c r="K16" s="100"/>
    </row>
    <row r="17" spans="4:12" x14ac:dyDescent="0.25">
      <c r="D17" s="88"/>
      <c r="E17" s="42" t="s">
        <v>282</v>
      </c>
      <c r="F17" s="94" t="s">
        <v>716</v>
      </c>
      <c r="G17" s="94"/>
      <c r="H17" s="94"/>
      <c r="I17" s="94" t="s">
        <v>716</v>
      </c>
      <c r="J17" s="94"/>
      <c r="K17" s="94"/>
      <c r="L17" s="21"/>
    </row>
    <row r="18" spans="4:12" x14ac:dyDescent="0.25">
      <c r="D18" s="77" t="s">
        <v>277</v>
      </c>
      <c r="E18" s="42" t="s">
        <v>283</v>
      </c>
      <c r="F18" s="94" t="s">
        <v>717</v>
      </c>
      <c r="G18" s="94"/>
      <c r="H18" s="94"/>
      <c r="I18" s="94" t="s">
        <v>717</v>
      </c>
      <c r="J18" s="94"/>
      <c r="K18" s="94"/>
      <c r="L18" s="21"/>
    </row>
    <row r="19" spans="4:12" x14ac:dyDescent="0.25">
      <c r="D19" s="77" t="s">
        <v>278</v>
      </c>
      <c r="E19" s="42" t="s">
        <v>282</v>
      </c>
      <c r="F19" s="94" t="s">
        <v>718</v>
      </c>
      <c r="G19" s="94"/>
      <c r="H19" s="94"/>
      <c r="I19" s="94" t="s">
        <v>718</v>
      </c>
      <c r="J19" s="94"/>
      <c r="K19" s="94"/>
      <c r="L19" s="21"/>
    </row>
    <row r="20" spans="4:12" x14ac:dyDescent="0.25">
      <c r="D20" s="77" t="s">
        <v>279</v>
      </c>
      <c r="E20" s="42" t="s">
        <v>282</v>
      </c>
      <c r="F20" s="94" t="s">
        <v>719</v>
      </c>
      <c r="G20" s="94"/>
      <c r="H20" s="94"/>
      <c r="I20" s="94" t="s">
        <v>719</v>
      </c>
      <c r="J20" s="94"/>
      <c r="K20" s="94"/>
      <c r="L20" s="21"/>
    </row>
    <row r="21" spans="4:12" s="45" customFormat="1" ht="45" x14ac:dyDescent="0.25">
      <c r="D21" s="85" t="s">
        <v>2</v>
      </c>
      <c r="E21" s="85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</row>
    <row r="22" spans="4:12" x14ac:dyDescent="0.25">
      <c r="D22" s="77" t="s">
        <v>280</v>
      </c>
      <c r="E22" s="42" t="s">
        <v>284</v>
      </c>
      <c r="F22" s="1" t="s">
        <v>9</v>
      </c>
      <c r="G22" s="2" t="s">
        <v>9</v>
      </c>
      <c r="H22" s="78" t="s">
        <v>720</v>
      </c>
      <c r="I22" s="1" t="s">
        <v>9</v>
      </c>
      <c r="J22" s="1" t="s">
        <v>9</v>
      </c>
      <c r="K22" s="78" t="s">
        <v>720</v>
      </c>
      <c r="L22" s="21"/>
    </row>
    <row r="23" spans="4:12" x14ac:dyDescent="0.25">
      <c r="D23" s="85" t="s">
        <v>281</v>
      </c>
      <c r="E23" s="42" t="s">
        <v>285</v>
      </c>
      <c r="F23" s="1" t="s">
        <v>9</v>
      </c>
      <c r="G23" s="2" t="s">
        <v>9</v>
      </c>
      <c r="H23" s="78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8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2" x14ac:dyDescent="0.25">
      <c r="D24" s="85"/>
      <c r="E24" s="42" t="s">
        <v>286</v>
      </c>
      <c r="F24" s="1" t="s">
        <v>9</v>
      </c>
      <c r="G24" s="2" t="s">
        <v>9</v>
      </c>
      <c r="H24" s="78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8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2" x14ac:dyDescent="0.25">
      <c r="D25" s="85"/>
      <c r="E25" s="42" t="s">
        <v>294</v>
      </c>
      <c r="F25" s="1" t="s">
        <v>9</v>
      </c>
      <c r="G25" s="2" t="s">
        <v>9</v>
      </c>
      <c r="H25" s="78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8" t="str">
        <f t="shared" si="1"/>
        <v>/VectoCustomerInformation/Data/Results/Result/Total/Fuel/FuelConsumption[@unit='g/p-km']</v>
      </c>
      <c r="L25" s="21"/>
    </row>
    <row r="26" spans="4:12" x14ac:dyDescent="0.25">
      <c r="D26" s="85"/>
      <c r="E26" s="42" t="s">
        <v>287</v>
      </c>
      <c r="F26" s="1" t="s">
        <v>9</v>
      </c>
      <c r="G26" s="2" t="s">
        <v>9</v>
      </c>
      <c r="H26" s="78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8" t="str">
        <f t="shared" si="1"/>
        <v>/VectoCustomerInformation/Data/Results/Result/Total/Fuel/FuelConsumption[@unit='g/m³-km']</v>
      </c>
      <c r="L26" s="36"/>
    </row>
    <row r="27" spans="4:12" x14ac:dyDescent="0.25">
      <c r="D27" s="85"/>
      <c r="E27" s="42" t="s">
        <v>314</v>
      </c>
      <c r="F27" s="1" t="s">
        <v>9</v>
      </c>
      <c r="G27" s="2" t="s">
        <v>9</v>
      </c>
      <c r="H27" s="78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8" t="str">
        <f t="shared" si="1"/>
        <v>/VectoCustomerInformation/Data/Results/Result/Total/Fuel/FuelConsumption[@unit='l/100km']</v>
      </c>
      <c r="L27" s="33"/>
    </row>
    <row r="28" spans="4:12" x14ac:dyDescent="0.25">
      <c r="D28" s="85"/>
      <c r="E28" s="42" t="s">
        <v>296</v>
      </c>
      <c r="F28" s="1" t="s">
        <v>9</v>
      </c>
      <c r="G28" s="2" t="s">
        <v>9</v>
      </c>
      <c r="H28" s="78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8" t="str">
        <f t="shared" si="1"/>
        <v>/VectoCustomerInformation/Data/Results/Result/Total/Fuel/FuelConsumption[@unit='l/t-km']</v>
      </c>
      <c r="L28" s="33"/>
    </row>
    <row r="29" spans="4:12" x14ac:dyDescent="0.25">
      <c r="D29" s="85"/>
      <c r="E29" s="42" t="s">
        <v>297</v>
      </c>
      <c r="F29" s="1" t="s">
        <v>9</v>
      </c>
      <c r="G29" s="2" t="s">
        <v>9</v>
      </c>
      <c r="H29" s="78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8" t="str">
        <f t="shared" si="1"/>
        <v>/VectoCustomerInformation/Data/Results/Result/Total/Fuel/FuelConsumption[@unit='l/p-km']</v>
      </c>
      <c r="L29" s="33"/>
    </row>
    <row r="30" spans="4:12" x14ac:dyDescent="0.25">
      <c r="D30" s="85"/>
      <c r="E30" s="42" t="s">
        <v>298</v>
      </c>
      <c r="F30" s="1" t="s">
        <v>9</v>
      </c>
      <c r="G30" s="2" t="s">
        <v>9</v>
      </c>
      <c r="H30" s="78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8" t="str">
        <f t="shared" si="1"/>
        <v>/VectoCustomerInformation/Data/Results/Result/Total/Fuel/FuelConsumption[@unit='l/m³-km']</v>
      </c>
      <c r="L30" s="33"/>
    </row>
    <row r="31" spans="4:12" x14ac:dyDescent="0.25">
      <c r="D31" s="85"/>
      <c r="E31" s="42" t="s">
        <v>288</v>
      </c>
      <c r="F31" s="1" t="s">
        <v>9</v>
      </c>
      <c r="G31" s="2" t="s">
        <v>9</v>
      </c>
      <c r="H31" s="78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8" t="str">
        <f t="shared" si="1"/>
        <v>/VectoCustomerInformation/Data/Results/Result/Total/Fuel/FuelConsumption[@unit='MJ/km']</v>
      </c>
      <c r="L31" s="33"/>
    </row>
    <row r="32" spans="4:12" x14ac:dyDescent="0.25">
      <c r="D32" s="85"/>
      <c r="E32" s="42" t="s">
        <v>289</v>
      </c>
      <c r="F32" s="1" t="s">
        <v>9</v>
      </c>
      <c r="G32" s="2" t="s">
        <v>9</v>
      </c>
      <c r="H32" s="78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8" t="str">
        <f t="shared" si="1"/>
        <v>/VectoCustomerInformation/Data/Results/Result/Total/Fuel/FuelConsumption[@unit='MJ/t-km']</v>
      </c>
      <c r="L32" s="33"/>
    </row>
    <row r="33" spans="4:12" x14ac:dyDescent="0.25">
      <c r="D33" s="85"/>
      <c r="E33" s="42" t="s">
        <v>295</v>
      </c>
      <c r="F33" s="1" t="s">
        <v>9</v>
      </c>
      <c r="G33" s="2" t="s">
        <v>9</v>
      </c>
      <c r="H33" s="78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8" t="str">
        <f t="shared" si="1"/>
        <v>/VectoCustomerInformation/Data/Results/Result/Total/Fuel/FuelConsumption[@unit='MJ/p-km']</v>
      </c>
      <c r="L33" s="33"/>
    </row>
    <row r="34" spans="4:12" x14ac:dyDescent="0.25">
      <c r="D34" s="85"/>
      <c r="E34" s="42" t="s">
        <v>290</v>
      </c>
      <c r="F34" s="1" t="s">
        <v>9</v>
      </c>
      <c r="G34" s="2" t="s">
        <v>9</v>
      </c>
      <c r="H34" s="78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8" t="str">
        <f t="shared" si="1"/>
        <v>/VectoCustomerInformation/Data/Results/Result/Total/Fuel/FuelConsumption[@unit='MJ/m³-km']</v>
      </c>
      <c r="L34" s="33"/>
    </row>
    <row r="35" spans="4:12" x14ac:dyDescent="0.25">
      <c r="D35" s="85" t="s">
        <v>4</v>
      </c>
      <c r="E35" s="42" t="s">
        <v>291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85"/>
      <c r="E36" s="42" t="s">
        <v>292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85"/>
      <c r="E37" s="42" t="s">
        <v>299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85"/>
      <c r="E38" s="42" t="s">
        <v>293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85"/>
      <c r="E39" s="42" t="s">
        <v>288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85"/>
      <c r="E40" s="42" t="s">
        <v>289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85"/>
      <c r="E41" s="42" t="s">
        <v>295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85"/>
      <c r="E42" s="42" t="s">
        <v>290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85" t="s">
        <v>3</v>
      </c>
      <c r="E43" s="42" t="s">
        <v>285</v>
      </c>
      <c r="F43" s="1" t="s">
        <v>9</v>
      </c>
      <c r="G43" s="2" t="s">
        <v>9</v>
      </c>
      <c r="H43" s="78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8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85"/>
      <c r="E44" s="42" t="s">
        <v>286</v>
      </c>
      <c r="F44" s="1" t="s">
        <v>9</v>
      </c>
      <c r="G44" s="2" t="s">
        <v>9</v>
      </c>
      <c r="H44" s="78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8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85"/>
      <c r="E45" s="42" t="s">
        <v>294</v>
      </c>
      <c r="F45" s="1" t="s">
        <v>9</v>
      </c>
      <c r="G45" s="2" t="s">
        <v>9</v>
      </c>
      <c r="H45" s="78" t="str">
        <f t="shared" si="2"/>
        <v>/VectoCustomerInformation/Data/Results/Result/Total/CO2[@unit='g/p-km']</v>
      </c>
      <c r="I45" s="1" t="s">
        <v>9</v>
      </c>
      <c r="J45" s="2" t="s">
        <v>9</v>
      </c>
      <c r="K45" s="78" t="str">
        <f t="shared" si="3"/>
        <v>/VectoCustomerInformation/Data/Results/Result/Total/CO2[@unit='g/p-km']</v>
      </c>
    </row>
    <row r="46" spans="4:12" x14ac:dyDescent="0.25">
      <c r="D46" s="85"/>
      <c r="E46" s="42" t="s">
        <v>287</v>
      </c>
      <c r="F46" s="1" t="s">
        <v>9</v>
      </c>
      <c r="G46" s="2" t="s">
        <v>9</v>
      </c>
      <c r="H46" s="78" t="str">
        <f t="shared" si="2"/>
        <v>/VectoCustomerInformation/Data/Results/Result/Total/CO2[@unit='g/m³-km']</v>
      </c>
      <c r="I46" s="1" t="s">
        <v>9</v>
      </c>
      <c r="J46" s="2" t="s">
        <v>9</v>
      </c>
      <c r="K46" s="78" t="str">
        <f t="shared" si="3"/>
        <v>/VectoCustomerInformation/Data/Results/Result/Total/CO2[@unit='g/m³-km']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4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4" x14ac:dyDescent="0.25">
      <c r="D50" s="48" t="s">
        <v>325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4" x14ac:dyDescent="0.25">
      <c r="D51" s="85" t="s">
        <v>312</v>
      </c>
      <c r="E51" s="43" t="s">
        <v>285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4" x14ac:dyDescent="0.25">
      <c r="D52" s="85"/>
      <c r="E52" s="43" t="s">
        <v>294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4" x14ac:dyDescent="0.25">
      <c r="D53" s="85"/>
      <c r="E53" s="43" t="s">
        <v>314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4" x14ac:dyDescent="0.25">
      <c r="D54" s="85"/>
      <c r="E54" s="43" t="s">
        <v>297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4" x14ac:dyDescent="0.25">
      <c r="D55" s="85"/>
      <c r="E55" s="43" t="s">
        <v>288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4" x14ac:dyDescent="0.25">
      <c r="D56" s="85"/>
      <c r="E56" s="43" t="s">
        <v>295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4" x14ac:dyDescent="0.25">
      <c r="D57" s="85" t="s">
        <v>313</v>
      </c>
      <c r="E57" s="43" t="s">
        <v>285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4" x14ac:dyDescent="0.25">
      <c r="D58" s="85"/>
      <c r="E58" s="43" t="s">
        <v>294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4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  <c r="N61" s="83"/>
    </row>
    <row r="63" spans="2:14" ht="16.5" x14ac:dyDescent="0.3">
      <c r="C63" s="57" t="s">
        <v>274</v>
      </c>
      <c r="D63" s="58"/>
      <c r="E63" s="58"/>
      <c r="F63" s="58"/>
      <c r="G63" s="58"/>
      <c r="H63" s="58"/>
      <c r="I63" s="58"/>
      <c r="J63" s="58"/>
      <c r="K63" s="58"/>
    </row>
    <row r="64" spans="2:14" ht="15.75" x14ac:dyDescent="0.25">
      <c r="C64" s="49"/>
    </row>
    <row r="65" spans="4:6" x14ac:dyDescent="0.25">
      <c r="D65" s="77" t="s">
        <v>303</v>
      </c>
      <c r="E65" s="42" t="s">
        <v>304</v>
      </c>
      <c r="F65" s="78" t="s">
        <v>727</v>
      </c>
    </row>
    <row r="66" spans="4:6" x14ac:dyDescent="0.25">
      <c r="D66" s="77" t="s">
        <v>305</v>
      </c>
      <c r="E66" s="42" t="s">
        <v>283</v>
      </c>
      <c r="F66" s="78" t="s">
        <v>728</v>
      </c>
    </row>
    <row r="67" spans="4:6" x14ac:dyDescent="0.25">
      <c r="D67" s="85" t="s">
        <v>307</v>
      </c>
      <c r="E67" s="42" t="s">
        <v>306</v>
      </c>
      <c r="F67" s="78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85"/>
      <c r="E68" s="42" t="s">
        <v>308</v>
      </c>
      <c r="F68" s="78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85" t="s">
        <v>309</v>
      </c>
      <c r="E69" s="42" t="s">
        <v>285</v>
      </c>
      <c r="F69" s="78" t="str">
        <f t="shared" si="4"/>
        <v>/VectoCustomerInformation/Data/Results/Summary/CO2[@unit='g/km']</v>
      </c>
    </row>
    <row r="70" spans="4:6" x14ac:dyDescent="0.25">
      <c r="D70" s="85"/>
      <c r="E70" s="42" t="s">
        <v>287</v>
      </c>
      <c r="F70" s="78" t="str">
        <f t="shared" si="4"/>
        <v>/VectoCustomerInformation/Data/Results/Summary/CO2[@unit='g/m³-km']</v>
      </c>
    </row>
    <row r="71" spans="4:6" x14ac:dyDescent="0.25">
      <c r="D71" s="85" t="s">
        <v>281</v>
      </c>
      <c r="E71" s="42" t="s">
        <v>285</v>
      </c>
      <c r="F71" s="78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85"/>
      <c r="E72" s="42" t="s">
        <v>286</v>
      </c>
      <c r="F72" s="78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85"/>
      <c r="E73" s="42" t="s">
        <v>294</v>
      </c>
      <c r="F73" s="78" t="str">
        <f t="shared" si="5"/>
        <v>/VectoCustomerInformation/Data/Results/Summary/Fuel/FuelConsumption[@unit='g/p-km']</v>
      </c>
    </row>
    <row r="74" spans="4:6" x14ac:dyDescent="0.25">
      <c r="D74" s="85"/>
      <c r="E74" s="42" t="s">
        <v>287</v>
      </c>
      <c r="F74" s="78" t="str">
        <f t="shared" si="5"/>
        <v>/VectoCustomerInformation/Data/Results/Summary/Fuel/FuelConsumption[@unit='g/m³-km']</v>
      </c>
    </row>
    <row r="75" spans="4:6" x14ac:dyDescent="0.25">
      <c r="D75" s="85"/>
      <c r="E75" s="42" t="s">
        <v>314</v>
      </c>
      <c r="F75" s="78" t="str">
        <f t="shared" si="5"/>
        <v>/VectoCustomerInformation/Data/Results/Summary/Fuel/FuelConsumption[@unit='l/100km']</v>
      </c>
    </row>
    <row r="76" spans="4:6" x14ac:dyDescent="0.25">
      <c r="D76" s="85"/>
      <c r="E76" s="42" t="s">
        <v>296</v>
      </c>
      <c r="F76" s="78" t="str">
        <f t="shared" si="5"/>
        <v>/VectoCustomerInformation/Data/Results/Summary/Fuel/FuelConsumption[@unit='l/t-km']</v>
      </c>
    </row>
    <row r="77" spans="4:6" x14ac:dyDescent="0.25">
      <c r="D77" s="85"/>
      <c r="E77" s="42" t="s">
        <v>297</v>
      </c>
      <c r="F77" s="78" t="str">
        <f t="shared" si="5"/>
        <v>/VectoCustomerInformation/Data/Results/Summary/Fuel/FuelConsumption[@unit='l/p-km']</v>
      </c>
    </row>
    <row r="78" spans="4:6" x14ac:dyDescent="0.25">
      <c r="D78" s="85"/>
      <c r="E78" s="42" t="s">
        <v>298</v>
      </c>
      <c r="F78" s="78" t="str">
        <f t="shared" si="5"/>
        <v>/VectoCustomerInformation/Data/Results/Summary/Fuel/FuelConsumption[@unit='l/m³-km']</v>
      </c>
    </row>
    <row r="79" spans="4:6" x14ac:dyDescent="0.25">
      <c r="D79" s="85"/>
      <c r="E79" s="42" t="s">
        <v>288</v>
      </c>
      <c r="F79" s="78" t="str">
        <f t="shared" si="5"/>
        <v>/VectoCustomerInformation/Data/Results/Summary/Fuel/FuelConsumption[@unit='MJ/km']</v>
      </c>
    </row>
    <row r="80" spans="4:6" x14ac:dyDescent="0.25">
      <c r="D80" s="85"/>
      <c r="E80" s="42" t="s">
        <v>289</v>
      </c>
      <c r="F80" s="78" t="str">
        <f t="shared" si="5"/>
        <v>/VectoCustomerInformation/Data/Results/Summary/Fuel/FuelConsumption[@unit='MJ/t-km']</v>
      </c>
    </row>
    <row r="81" spans="4:6" x14ac:dyDescent="0.25">
      <c r="D81" s="85"/>
      <c r="E81" s="42" t="s">
        <v>295</v>
      </c>
      <c r="F81" s="78" t="str">
        <f t="shared" si="5"/>
        <v>/VectoCustomerInformation/Data/Results/Summary/Fuel/FuelConsumption[@unit='MJ/p-km']</v>
      </c>
    </row>
    <row r="82" spans="4:6" x14ac:dyDescent="0.25">
      <c r="D82" s="85"/>
      <c r="E82" s="42" t="s">
        <v>290</v>
      </c>
      <c r="F82" s="78" t="str">
        <f t="shared" si="5"/>
        <v>/VectoCustomerInformation/Data/Results/Summary/Fuel/FuelConsumption[@unit='MJ/m³-km']</v>
      </c>
    </row>
    <row r="83" spans="4:6" x14ac:dyDescent="0.25">
      <c r="D83" s="85" t="s">
        <v>310</v>
      </c>
      <c r="E83" s="42" t="s">
        <v>292</v>
      </c>
      <c r="F83" s="1" t="s">
        <v>9</v>
      </c>
    </row>
    <row r="84" spans="4:6" x14ac:dyDescent="0.25">
      <c r="D84" s="85"/>
      <c r="E84" s="42" t="s">
        <v>299</v>
      </c>
      <c r="F84" s="1" t="s">
        <v>9</v>
      </c>
    </row>
    <row r="85" spans="4:6" x14ac:dyDescent="0.25">
      <c r="D85" s="85" t="s">
        <v>311</v>
      </c>
      <c r="E85" s="42" t="s">
        <v>291</v>
      </c>
      <c r="F85" s="1" t="s">
        <v>9</v>
      </c>
    </row>
    <row r="86" spans="4:6" x14ac:dyDescent="0.25">
      <c r="D86" s="85"/>
      <c r="E86" s="42" t="s">
        <v>293</v>
      </c>
      <c r="F86" s="1" t="s">
        <v>9</v>
      </c>
    </row>
    <row r="87" spans="4:6" x14ac:dyDescent="0.25">
      <c r="D87" s="85"/>
      <c r="E87" s="42" t="s">
        <v>289</v>
      </c>
      <c r="F87" s="1" t="s">
        <v>9</v>
      </c>
    </row>
    <row r="88" spans="4:6" x14ac:dyDescent="0.25">
      <c r="D88" s="85"/>
      <c r="E88" s="42" t="s">
        <v>295</v>
      </c>
      <c r="F88" s="1" t="s">
        <v>9</v>
      </c>
    </row>
    <row r="89" spans="4:6" x14ac:dyDescent="0.25">
      <c r="D89" s="85"/>
      <c r="E89" s="42" t="s">
        <v>288</v>
      </c>
      <c r="F89" s="1" t="s">
        <v>9</v>
      </c>
    </row>
    <row r="90" spans="4:6" x14ac:dyDescent="0.25">
      <c r="D90" s="85"/>
      <c r="E90" s="42" t="s">
        <v>290</v>
      </c>
      <c r="F90" s="1" t="s">
        <v>9</v>
      </c>
    </row>
    <row r="91" spans="4:6" x14ac:dyDescent="0.25">
      <c r="D91" s="77" t="s">
        <v>300</v>
      </c>
      <c r="E91" s="43" t="s">
        <v>6</v>
      </c>
      <c r="F91" s="1" t="s">
        <v>9</v>
      </c>
    </row>
    <row r="92" spans="4:6" x14ac:dyDescent="0.25">
      <c r="D92" s="77" t="s">
        <v>301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85" t="s">
        <v>312</v>
      </c>
      <c r="E94" s="43" t="s">
        <v>285</v>
      </c>
      <c r="F94" s="1" t="s">
        <v>9</v>
      </c>
    </row>
    <row r="95" spans="4:6" x14ac:dyDescent="0.25">
      <c r="D95" s="85"/>
      <c r="E95" s="43" t="s">
        <v>294</v>
      </c>
      <c r="F95" s="1" t="s">
        <v>9</v>
      </c>
    </row>
    <row r="96" spans="4:6" x14ac:dyDescent="0.25">
      <c r="D96" s="85"/>
      <c r="E96" s="43" t="s">
        <v>314</v>
      </c>
      <c r="F96" s="1" t="s">
        <v>9</v>
      </c>
    </row>
    <row r="97" spans="4:6" x14ac:dyDescent="0.25">
      <c r="D97" s="85"/>
      <c r="E97" s="43" t="s">
        <v>297</v>
      </c>
      <c r="F97" s="1" t="s">
        <v>9</v>
      </c>
    </row>
    <row r="98" spans="4:6" x14ac:dyDescent="0.25">
      <c r="D98" s="85"/>
      <c r="E98" s="43" t="s">
        <v>288</v>
      </c>
      <c r="F98" s="1" t="s">
        <v>9</v>
      </c>
    </row>
    <row r="99" spans="4:6" x14ac:dyDescent="0.25">
      <c r="D99" s="85"/>
      <c r="E99" s="43" t="s">
        <v>295</v>
      </c>
      <c r="F99" s="1" t="s">
        <v>9</v>
      </c>
    </row>
    <row r="100" spans="4:6" x14ac:dyDescent="0.25">
      <c r="D100" s="85" t="s">
        <v>313</v>
      </c>
      <c r="E100" s="43" t="s">
        <v>285</v>
      </c>
      <c r="F100" s="1" t="s">
        <v>9</v>
      </c>
    </row>
    <row r="101" spans="4:6" x14ac:dyDescent="0.25">
      <c r="D101" s="85"/>
      <c r="E101" s="43" t="s">
        <v>294</v>
      </c>
      <c r="F101" s="1" t="s">
        <v>9</v>
      </c>
    </row>
  </sheetData>
  <mergeCells count="26">
    <mergeCell ref="D100:D101"/>
    <mergeCell ref="D85:D90"/>
    <mergeCell ref="D94:D99"/>
    <mergeCell ref="D57:D58"/>
    <mergeCell ref="D67:D68"/>
    <mergeCell ref="D69:D70"/>
    <mergeCell ref="D71:D82"/>
    <mergeCell ref="D83:D84"/>
    <mergeCell ref="D21:E21"/>
    <mergeCell ref="D23:D34"/>
    <mergeCell ref="D35:D42"/>
    <mergeCell ref="D43:D46"/>
    <mergeCell ref="D51:D56"/>
    <mergeCell ref="F18:H18"/>
    <mergeCell ref="I18:K18"/>
    <mergeCell ref="F20:H20"/>
    <mergeCell ref="I20:K20"/>
    <mergeCell ref="F19:H19"/>
    <mergeCell ref="I19:K19"/>
    <mergeCell ref="D16:D17"/>
    <mergeCell ref="F16:H16"/>
    <mergeCell ref="I16:K16"/>
    <mergeCell ref="D15:E15"/>
    <mergeCell ref="F15:K15"/>
    <mergeCell ref="F17:H17"/>
    <mergeCell ref="I17:K17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01"/>
  <sheetViews>
    <sheetView zoomScaleNormal="100" workbookViewId="0">
      <selection activeCell="C13" sqref="C13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  <c r="M2" s="81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326</v>
      </c>
      <c r="M4" s="49"/>
    </row>
    <row r="5" spans="2:13" ht="15.75" x14ac:dyDescent="0.25">
      <c r="C5" s="1" t="s">
        <v>9</v>
      </c>
      <c r="D5" t="s">
        <v>323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2" customFormat="1" ht="15.75" x14ac:dyDescent="0.25">
      <c r="B11" s="54" t="s">
        <v>327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3" ht="16.5" x14ac:dyDescent="0.3">
      <c r="C13" s="57" t="s">
        <v>275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93" t="s">
        <v>0</v>
      </c>
      <c r="E15" s="93"/>
      <c r="F15" s="92" t="s">
        <v>715</v>
      </c>
      <c r="G15" s="92"/>
      <c r="H15" s="92"/>
      <c r="I15" s="92"/>
      <c r="J15" s="92"/>
      <c r="K15" s="92"/>
    </row>
    <row r="16" spans="2:13" x14ac:dyDescent="0.25">
      <c r="D16" s="87" t="s">
        <v>1</v>
      </c>
      <c r="E16" s="42" t="s">
        <v>283</v>
      </c>
      <c r="F16" s="98" t="s">
        <v>8</v>
      </c>
      <c r="G16" s="99"/>
      <c r="H16" s="100"/>
      <c r="I16" s="98" t="s">
        <v>302</v>
      </c>
      <c r="J16" s="99"/>
      <c r="K16" s="100"/>
    </row>
    <row r="17" spans="4:42" x14ac:dyDescent="0.25">
      <c r="D17" s="88"/>
      <c r="E17" s="42" t="s">
        <v>282</v>
      </c>
      <c r="F17" s="94" t="s">
        <v>716</v>
      </c>
      <c r="G17" s="94"/>
      <c r="H17" s="94"/>
      <c r="I17" s="94" t="s">
        <v>716</v>
      </c>
      <c r="J17" s="94"/>
      <c r="K17" s="94"/>
      <c r="L17" s="21"/>
    </row>
    <row r="18" spans="4:42" x14ac:dyDescent="0.25">
      <c r="D18" s="77" t="s">
        <v>277</v>
      </c>
      <c r="E18" s="42" t="s">
        <v>283</v>
      </c>
      <c r="F18" s="94" t="s">
        <v>717</v>
      </c>
      <c r="G18" s="94"/>
      <c r="H18" s="94"/>
      <c r="I18" s="94" t="s">
        <v>717</v>
      </c>
      <c r="J18" s="94"/>
      <c r="K18" s="94"/>
      <c r="L18" s="21"/>
    </row>
    <row r="19" spans="4:42" x14ac:dyDescent="0.25">
      <c r="D19" s="77" t="s">
        <v>278</v>
      </c>
      <c r="E19" s="42" t="s">
        <v>282</v>
      </c>
      <c r="F19" s="94" t="s">
        <v>718</v>
      </c>
      <c r="G19" s="94"/>
      <c r="H19" s="94"/>
      <c r="I19" s="94" t="s">
        <v>718</v>
      </c>
      <c r="J19" s="94"/>
      <c r="K19" s="94"/>
      <c r="L19" s="21"/>
    </row>
    <row r="20" spans="4:42" x14ac:dyDescent="0.25">
      <c r="D20" s="77" t="s">
        <v>279</v>
      </c>
      <c r="E20" s="42" t="s">
        <v>282</v>
      </c>
      <c r="F20" s="94" t="s">
        <v>719</v>
      </c>
      <c r="G20" s="94"/>
      <c r="H20" s="94"/>
      <c r="I20" s="94" t="s">
        <v>719</v>
      </c>
      <c r="J20" s="94"/>
      <c r="K20" s="94"/>
      <c r="L20" s="21"/>
    </row>
    <row r="21" spans="4:42" s="45" customFormat="1" ht="45" x14ac:dyDescent="0.25">
      <c r="D21" s="85" t="s">
        <v>2</v>
      </c>
      <c r="E21" s="85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4:42" x14ac:dyDescent="0.25">
      <c r="D22" s="77" t="s">
        <v>280</v>
      </c>
      <c r="E22" s="42" t="s">
        <v>284</v>
      </c>
      <c r="F22" s="78" t="s">
        <v>721</v>
      </c>
      <c r="G22" s="78" t="s">
        <v>722</v>
      </c>
      <c r="H22" s="78" t="s">
        <v>720</v>
      </c>
      <c r="I22" s="78" t="s">
        <v>721</v>
      </c>
      <c r="J22" s="78" t="s">
        <v>722</v>
      </c>
      <c r="K22" s="78" t="s">
        <v>720</v>
      </c>
      <c r="L22" s="21"/>
    </row>
    <row r="23" spans="4:42" x14ac:dyDescent="0.25">
      <c r="D23" s="85" t="s">
        <v>281</v>
      </c>
      <c r="E23" s="42" t="s">
        <v>285</v>
      </c>
      <c r="F23" s="78" t="str">
        <f t="shared" ref="F23:F34" si="0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G23" s="78" t="str">
        <f t="shared" ref="G23:G34" si="1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H23" s="78" t="str">
        <f t="shared" ref="H23:H34" si="2">CONCATENATE("/VectoCustomerInformation/Data/Results/Result/Total/Fuel/FuelConsumption[@unit='",E23,"']")</f>
        <v>/VectoCustomerInformation/Data/Results/Result/Total/Fuel/FuelConsumption[@unit='g/km']</v>
      </c>
      <c r="I23" s="78" t="str">
        <f t="shared" ref="I23:I34" si="3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J23" s="78" t="str">
        <f t="shared" ref="J23:J34" si="4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K23" s="78" t="str">
        <f t="shared" ref="K23:K34" si="5"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42" x14ac:dyDescent="0.25">
      <c r="D24" s="85"/>
      <c r="E24" s="42" t="s">
        <v>286</v>
      </c>
      <c r="F24" s="78" t="str">
        <f t="shared" si="0"/>
        <v>/VectoCustomerInformation/Data/Results/Result/OVCMode[@type='charge depleting']/Fuel/FuelConsumption[@unit='g/t-km']</v>
      </c>
      <c r="G24" s="78" t="str">
        <f t="shared" si="1"/>
        <v>/VectoCustomerInformation/Data/Results/Result/OVCMode[@type='charge sustaining']/Fuel/FuelConsumption[@unit='g/t-km']</v>
      </c>
      <c r="H24" s="78" t="str">
        <f t="shared" si="2"/>
        <v>/VectoCustomerInformation/Data/Results/Result/Total/Fuel/FuelConsumption[@unit='g/t-km']</v>
      </c>
      <c r="I24" s="78" t="str">
        <f t="shared" si="3"/>
        <v>/VectoCustomerInformation/Data/Results/Result/OVCMode[@type='charge depleting']/Fuel/FuelConsumption[@unit='g/t-km']</v>
      </c>
      <c r="J24" s="78" t="str">
        <f t="shared" si="4"/>
        <v>/VectoCustomerInformation/Data/Results/Result/OVCMode[@type='charge sustaining']/Fuel/FuelConsumption[@unit='g/t-km']</v>
      </c>
      <c r="K24" s="78" t="str">
        <f t="shared" si="5"/>
        <v>/VectoCustomerInformation/Data/Results/Result/Total/Fuel/FuelConsumption[@unit='g/t-km']</v>
      </c>
      <c r="L24" s="21"/>
    </row>
    <row r="25" spans="4:42" x14ac:dyDescent="0.25">
      <c r="D25" s="85"/>
      <c r="E25" s="42" t="s">
        <v>294</v>
      </c>
      <c r="F25" s="78" t="str">
        <f t="shared" si="0"/>
        <v>/VectoCustomerInformation/Data/Results/Result/OVCMode[@type='charge depleting']/Fuel/FuelConsumption[@unit='g/p-km']</v>
      </c>
      <c r="G25" s="78" t="str">
        <f t="shared" si="1"/>
        <v>/VectoCustomerInformation/Data/Results/Result/OVCMode[@type='charge sustaining']/Fuel/FuelConsumption[@unit='g/p-km']</v>
      </c>
      <c r="H25" s="78" t="str">
        <f t="shared" si="2"/>
        <v>/VectoCustomerInformation/Data/Results/Result/Total/Fuel/FuelConsumption[@unit='g/p-km']</v>
      </c>
      <c r="I25" s="78" t="str">
        <f t="shared" si="3"/>
        <v>/VectoCustomerInformation/Data/Results/Result/OVCMode[@type='charge depleting']/Fuel/FuelConsumption[@unit='g/p-km']</v>
      </c>
      <c r="J25" s="78" t="str">
        <f t="shared" si="4"/>
        <v>/VectoCustomerInformation/Data/Results/Result/OVCMode[@type='charge sustaining']/Fuel/FuelConsumption[@unit='g/p-km']</v>
      </c>
      <c r="K25" s="78" t="str">
        <f t="shared" si="5"/>
        <v>/VectoCustomerInformation/Data/Results/Result/Total/Fuel/FuelConsumption[@unit='g/p-km']</v>
      </c>
      <c r="L25" s="21"/>
    </row>
    <row r="26" spans="4:42" x14ac:dyDescent="0.25">
      <c r="D26" s="85"/>
      <c r="E26" s="42" t="s">
        <v>287</v>
      </c>
      <c r="F26" s="78" t="str">
        <f t="shared" si="0"/>
        <v>/VectoCustomerInformation/Data/Results/Result/OVCMode[@type='charge depleting']/Fuel/FuelConsumption[@unit='g/m³-km']</v>
      </c>
      <c r="G26" s="78" t="str">
        <f t="shared" si="1"/>
        <v>/VectoCustomerInformation/Data/Results/Result/OVCMode[@type='charge sustaining']/Fuel/FuelConsumption[@unit='g/m³-km']</v>
      </c>
      <c r="H26" s="78" t="str">
        <f t="shared" si="2"/>
        <v>/VectoCustomerInformation/Data/Results/Result/Total/Fuel/FuelConsumption[@unit='g/m³-km']</v>
      </c>
      <c r="I26" s="78" t="str">
        <f t="shared" si="3"/>
        <v>/VectoCustomerInformation/Data/Results/Result/OVCMode[@type='charge depleting']/Fuel/FuelConsumption[@unit='g/m³-km']</v>
      </c>
      <c r="J26" s="78" t="str">
        <f t="shared" si="4"/>
        <v>/VectoCustomerInformation/Data/Results/Result/OVCMode[@type='charge sustaining']/Fuel/FuelConsumption[@unit='g/m³-km']</v>
      </c>
      <c r="K26" s="78" t="str">
        <f t="shared" si="5"/>
        <v>/VectoCustomerInformation/Data/Results/Result/Total/Fuel/FuelConsumption[@unit='g/m³-km']</v>
      </c>
      <c r="L26" s="36"/>
    </row>
    <row r="27" spans="4:42" x14ac:dyDescent="0.25">
      <c r="D27" s="85"/>
      <c r="E27" s="42" t="s">
        <v>314</v>
      </c>
      <c r="F27" s="78" t="str">
        <f t="shared" si="0"/>
        <v>/VectoCustomerInformation/Data/Results/Result/OVCMode[@type='charge depleting']/Fuel/FuelConsumption[@unit='l/100km']</v>
      </c>
      <c r="G27" s="78" t="str">
        <f t="shared" si="1"/>
        <v>/VectoCustomerInformation/Data/Results/Result/OVCMode[@type='charge sustaining']/Fuel/FuelConsumption[@unit='l/100km']</v>
      </c>
      <c r="H27" s="78" t="str">
        <f t="shared" si="2"/>
        <v>/VectoCustomerInformation/Data/Results/Result/Total/Fuel/FuelConsumption[@unit='l/100km']</v>
      </c>
      <c r="I27" s="78" t="str">
        <f t="shared" si="3"/>
        <v>/VectoCustomerInformation/Data/Results/Result/OVCMode[@type='charge depleting']/Fuel/FuelConsumption[@unit='l/100km']</v>
      </c>
      <c r="J27" s="78" t="str">
        <f t="shared" si="4"/>
        <v>/VectoCustomerInformation/Data/Results/Result/OVCMode[@type='charge sustaining']/Fuel/FuelConsumption[@unit='l/100km']</v>
      </c>
      <c r="K27" s="78" t="str">
        <f t="shared" si="5"/>
        <v>/VectoCustomerInformation/Data/Results/Result/Total/Fuel/FuelConsumption[@unit='l/100km']</v>
      </c>
      <c r="L27" s="33"/>
    </row>
    <row r="28" spans="4:42" x14ac:dyDescent="0.25">
      <c r="D28" s="85"/>
      <c r="E28" s="42" t="s">
        <v>296</v>
      </c>
      <c r="F28" s="78" t="str">
        <f t="shared" si="0"/>
        <v>/VectoCustomerInformation/Data/Results/Result/OVCMode[@type='charge depleting']/Fuel/FuelConsumption[@unit='l/t-km']</v>
      </c>
      <c r="G28" s="78" t="str">
        <f t="shared" si="1"/>
        <v>/VectoCustomerInformation/Data/Results/Result/OVCMode[@type='charge sustaining']/Fuel/FuelConsumption[@unit='l/t-km']</v>
      </c>
      <c r="H28" s="78" t="str">
        <f t="shared" si="2"/>
        <v>/VectoCustomerInformation/Data/Results/Result/Total/Fuel/FuelConsumption[@unit='l/t-km']</v>
      </c>
      <c r="I28" s="78" t="str">
        <f t="shared" si="3"/>
        <v>/VectoCustomerInformation/Data/Results/Result/OVCMode[@type='charge depleting']/Fuel/FuelConsumption[@unit='l/t-km']</v>
      </c>
      <c r="J28" s="78" t="str">
        <f t="shared" si="4"/>
        <v>/VectoCustomerInformation/Data/Results/Result/OVCMode[@type='charge sustaining']/Fuel/FuelConsumption[@unit='l/t-km']</v>
      </c>
      <c r="K28" s="78" t="str">
        <f t="shared" si="5"/>
        <v>/VectoCustomerInformation/Data/Results/Result/Total/Fuel/FuelConsumption[@unit='l/t-km']</v>
      </c>
      <c r="L28" s="33"/>
    </row>
    <row r="29" spans="4:42" x14ac:dyDescent="0.25">
      <c r="D29" s="85"/>
      <c r="E29" s="42" t="s">
        <v>297</v>
      </c>
      <c r="F29" s="78" t="str">
        <f t="shared" si="0"/>
        <v>/VectoCustomerInformation/Data/Results/Result/OVCMode[@type='charge depleting']/Fuel/FuelConsumption[@unit='l/p-km']</v>
      </c>
      <c r="G29" s="78" t="str">
        <f t="shared" si="1"/>
        <v>/VectoCustomerInformation/Data/Results/Result/OVCMode[@type='charge sustaining']/Fuel/FuelConsumption[@unit='l/p-km']</v>
      </c>
      <c r="H29" s="78" t="str">
        <f t="shared" si="2"/>
        <v>/VectoCustomerInformation/Data/Results/Result/Total/Fuel/FuelConsumption[@unit='l/p-km']</v>
      </c>
      <c r="I29" s="78" t="str">
        <f t="shared" si="3"/>
        <v>/VectoCustomerInformation/Data/Results/Result/OVCMode[@type='charge depleting']/Fuel/FuelConsumption[@unit='l/p-km']</v>
      </c>
      <c r="J29" s="78" t="str">
        <f t="shared" si="4"/>
        <v>/VectoCustomerInformation/Data/Results/Result/OVCMode[@type='charge sustaining']/Fuel/FuelConsumption[@unit='l/p-km']</v>
      </c>
      <c r="K29" s="78" t="str">
        <f t="shared" si="5"/>
        <v>/VectoCustomerInformation/Data/Results/Result/Total/Fuel/FuelConsumption[@unit='l/p-km']</v>
      </c>
      <c r="L29" s="33"/>
    </row>
    <row r="30" spans="4:42" x14ac:dyDescent="0.25">
      <c r="D30" s="85"/>
      <c r="E30" s="42" t="s">
        <v>298</v>
      </c>
      <c r="F30" s="78" t="str">
        <f t="shared" si="0"/>
        <v>/VectoCustomerInformation/Data/Results/Result/OVCMode[@type='charge depleting']/Fuel/FuelConsumption[@unit='l/m³-km']</v>
      </c>
      <c r="G30" s="78" t="str">
        <f t="shared" si="1"/>
        <v>/VectoCustomerInformation/Data/Results/Result/OVCMode[@type='charge sustaining']/Fuel/FuelConsumption[@unit='l/m³-km']</v>
      </c>
      <c r="H30" s="78" t="str">
        <f t="shared" si="2"/>
        <v>/VectoCustomerInformation/Data/Results/Result/Total/Fuel/FuelConsumption[@unit='l/m³-km']</v>
      </c>
      <c r="I30" s="78" t="str">
        <f t="shared" si="3"/>
        <v>/VectoCustomerInformation/Data/Results/Result/OVCMode[@type='charge depleting']/Fuel/FuelConsumption[@unit='l/m³-km']</v>
      </c>
      <c r="J30" s="78" t="str">
        <f t="shared" si="4"/>
        <v>/VectoCustomerInformation/Data/Results/Result/OVCMode[@type='charge sustaining']/Fuel/FuelConsumption[@unit='l/m³-km']</v>
      </c>
      <c r="K30" s="78" t="str">
        <f t="shared" si="5"/>
        <v>/VectoCustomerInformation/Data/Results/Result/Total/Fuel/FuelConsumption[@unit='l/m³-km']</v>
      </c>
      <c r="L30" s="33"/>
    </row>
    <row r="31" spans="4:42" x14ac:dyDescent="0.25">
      <c r="D31" s="85"/>
      <c r="E31" s="42" t="s">
        <v>288</v>
      </c>
      <c r="F31" s="78" t="str">
        <f t="shared" si="0"/>
        <v>/VectoCustomerInformation/Data/Results/Result/OVCMode[@type='charge depleting']/Fuel/FuelConsumption[@unit='MJ/km']</v>
      </c>
      <c r="G31" s="78" t="str">
        <f t="shared" si="1"/>
        <v>/VectoCustomerInformation/Data/Results/Result/OVCMode[@type='charge sustaining']/Fuel/FuelConsumption[@unit='MJ/km']</v>
      </c>
      <c r="H31" s="78" t="str">
        <f t="shared" si="2"/>
        <v>/VectoCustomerInformation/Data/Results/Result/Total/Fuel/FuelConsumption[@unit='MJ/km']</v>
      </c>
      <c r="I31" s="78" t="str">
        <f t="shared" si="3"/>
        <v>/VectoCustomerInformation/Data/Results/Result/OVCMode[@type='charge depleting']/Fuel/FuelConsumption[@unit='MJ/km']</v>
      </c>
      <c r="J31" s="78" t="str">
        <f t="shared" si="4"/>
        <v>/VectoCustomerInformation/Data/Results/Result/OVCMode[@type='charge sustaining']/Fuel/FuelConsumption[@unit='MJ/km']</v>
      </c>
      <c r="K31" s="78" t="str">
        <f t="shared" si="5"/>
        <v>/VectoCustomerInformation/Data/Results/Result/Total/Fuel/FuelConsumption[@unit='MJ/km']</v>
      </c>
      <c r="L31" s="33"/>
    </row>
    <row r="32" spans="4:42" x14ac:dyDescent="0.25">
      <c r="D32" s="85"/>
      <c r="E32" s="42" t="s">
        <v>289</v>
      </c>
      <c r="F32" s="78" t="str">
        <f t="shared" si="0"/>
        <v>/VectoCustomerInformation/Data/Results/Result/OVCMode[@type='charge depleting']/Fuel/FuelConsumption[@unit='MJ/t-km']</v>
      </c>
      <c r="G32" s="78" t="str">
        <f t="shared" si="1"/>
        <v>/VectoCustomerInformation/Data/Results/Result/OVCMode[@type='charge sustaining']/Fuel/FuelConsumption[@unit='MJ/t-km']</v>
      </c>
      <c r="H32" s="78" t="str">
        <f t="shared" si="2"/>
        <v>/VectoCustomerInformation/Data/Results/Result/Total/Fuel/FuelConsumption[@unit='MJ/t-km']</v>
      </c>
      <c r="I32" s="78" t="str">
        <f t="shared" si="3"/>
        <v>/VectoCustomerInformation/Data/Results/Result/OVCMode[@type='charge depleting']/Fuel/FuelConsumption[@unit='MJ/t-km']</v>
      </c>
      <c r="J32" s="78" t="str">
        <f t="shared" si="4"/>
        <v>/VectoCustomerInformation/Data/Results/Result/OVCMode[@type='charge sustaining']/Fuel/FuelConsumption[@unit='MJ/t-km']</v>
      </c>
      <c r="K32" s="78" t="str">
        <f t="shared" si="5"/>
        <v>/VectoCustomerInformation/Data/Results/Result/Total/Fuel/FuelConsumption[@unit='MJ/t-km']</v>
      </c>
      <c r="L32" s="33"/>
    </row>
    <row r="33" spans="4:12" x14ac:dyDescent="0.25">
      <c r="D33" s="85"/>
      <c r="E33" s="42" t="s">
        <v>295</v>
      </c>
      <c r="F33" s="78" t="str">
        <f t="shared" si="0"/>
        <v>/VectoCustomerInformation/Data/Results/Result/OVCMode[@type='charge depleting']/Fuel/FuelConsumption[@unit='MJ/p-km']</v>
      </c>
      <c r="G33" s="78" t="str">
        <f t="shared" si="1"/>
        <v>/VectoCustomerInformation/Data/Results/Result/OVCMode[@type='charge sustaining']/Fuel/FuelConsumption[@unit='MJ/p-km']</v>
      </c>
      <c r="H33" s="78" t="str">
        <f t="shared" si="2"/>
        <v>/VectoCustomerInformation/Data/Results/Result/Total/Fuel/FuelConsumption[@unit='MJ/p-km']</v>
      </c>
      <c r="I33" s="78" t="str">
        <f t="shared" si="3"/>
        <v>/VectoCustomerInformation/Data/Results/Result/OVCMode[@type='charge depleting']/Fuel/FuelConsumption[@unit='MJ/p-km']</v>
      </c>
      <c r="J33" s="78" t="str">
        <f t="shared" si="4"/>
        <v>/VectoCustomerInformation/Data/Results/Result/OVCMode[@type='charge sustaining']/Fuel/FuelConsumption[@unit='MJ/p-km']</v>
      </c>
      <c r="K33" s="78" t="str">
        <f t="shared" si="5"/>
        <v>/VectoCustomerInformation/Data/Results/Result/Total/Fuel/FuelConsumption[@unit='MJ/p-km']</v>
      </c>
      <c r="L33" s="33"/>
    </row>
    <row r="34" spans="4:12" x14ac:dyDescent="0.25">
      <c r="D34" s="85"/>
      <c r="E34" s="42" t="s">
        <v>290</v>
      </c>
      <c r="F34" s="78" t="str">
        <f t="shared" si="0"/>
        <v>/VectoCustomerInformation/Data/Results/Result/OVCMode[@type='charge depleting']/Fuel/FuelConsumption[@unit='MJ/m³-km']</v>
      </c>
      <c r="G34" s="78" t="str">
        <f t="shared" si="1"/>
        <v>/VectoCustomerInformation/Data/Results/Result/OVCMode[@type='charge sustaining']/Fuel/FuelConsumption[@unit='MJ/m³-km']</v>
      </c>
      <c r="H34" s="78" t="str">
        <f t="shared" si="2"/>
        <v>/VectoCustomerInformation/Data/Results/Result/Total/Fuel/FuelConsumption[@unit='MJ/m³-km']</v>
      </c>
      <c r="I34" s="78" t="str">
        <f t="shared" si="3"/>
        <v>/VectoCustomerInformation/Data/Results/Result/OVCMode[@type='charge depleting']/Fuel/FuelConsumption[@unit='MJ/m³-km']</v>
      </c>
      <c r="J34" s="78" t="str">
        <f t="shared" si="4"/>
        <v>/VectoCustomerInformation/Data/Results/Result/OVCMode[@type='charge sustaining']/Fuel/FuelConsumption[@unit='MJ/m³-km']</v>
      </c>
      <c r="K34" s="78" t="str">
        <f t="shared" si="5"/>
        <v>/VectoCustomerInformation/Data/Results/Result/Total/Fuel/FuelConsumption[@unit='MJ/m³-km']</v>
      </c>
      <c r="L34" s="33"/>
    </row>
    <row r="35" spans="4:12" x14ac:dyDescent="0.25">
      <c r="D35" s="85" t="s">
        <v>4</v>
      </c>
      <c r="E35" s="42" t="s">
        <v>291</v>
      </c>
      <c r="F35" s="78" t="str">
        <f t="shared" ref="F35:F42" si="6">CONCATENATE("/VectoCustomerInformation/Data/Results/Result/OVCMode[@type='charge depleting']/ElectricEnergy/EnergyConsumption[@unit='",E35,"']")</f>
        <v>/VectoCustomerInformation/Data/Results/Result/OVCMode[@type='charge depleting']/ElectricEnergy/EnergyConsumption[@unit='kWh/km']</v>
      </c>
      <c r="G35" s="78" t="str">
        <f t="shared" ref="G35:G42" si="7">CONCATENATE("/VectoCustomerInformation/Data/Results/Result/OVCMode[@type='charge sustaining']/ElectricEnergy/EnergyConsumption[@unit='",E35,"']")</f>
        <v>/VectoCustomerInformation/Data/Results/Result/OVCMode[@type='charge sustaining']/ElectricEnergy/EnergyConsumption[@unit='kWh/km']</v>
      </c>
      <c r="H35" s="78" t="str">
        <f t="shared" ref="H35:H42" si="8">CONCATENATE("/VectoCustomerInformation/Data/Results/Result/Total/ElectricEnergy/EnergyConsumption[@unit='",E35,"']")</f>
        <v>/VectoCustomerInformation/Data/Results/Result/Total/ElectricEnergy/EnergyConsumption[@unit='kWh/km']</v>
      </c>
      <c r="I35" s="78" t="str">
        <f t="shared" ref="I35:I42" si="9">CONCATENATE("/VectoCustomerInformation/Data/Results/Result/OVCMode[@type='charge depleting']/ElectricEnergy/EnergyConsumption[@unit='",E35,"']")</f>
        <v>/VectoCustomerInformation/Data/Results/Result/OVCMode[@type='charge depleting']/ElectricEnergy/EnergyConsumption[@unit='kWh/km']</v>
      </c>
      <c r="J35" s="78" t="str">
        <f t="shared" ref="J35:J42" si="10">CONCATENATE("/VectoCustomerInformation/Data/Results/Result/OVCMode[@type='charge sustaining']/ElectricEnergy/EnergyConsumption[@unit='",E35,"']")</f>
        <v>/VectoCustomerInformation/Data/Results/Result/OVCMode[@type='charge sustaining']/ElectricEnergy/EnergyConsumption[@unit='kWh/km']</v>
      </c>
      <c r="K35" s="78" t="str">
        <f t="shared" ref="K35:K43" si="11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85"/>
      <c r="E36" s="42" t="s">
        <v>292</v>
      </c>
      <c r="F36" s="78" t="str">
        <f t="shared" si="6"/>
        <v>/VectoCustomerInformation/Data/Results/Result/OVCMode[@type='charge depleting']/ElectricEnergy/EnergyConsumption[@unit='kWh/t-km']</v>
      </c>
      <c r="G36" s="78" t="str">
        <f t="shared" si="7"/>
        <v>/VectoCustomerInformation/Data/Results/Result/OVCMode[@type='charge sustaining']/ElectricEnergy/EnergyConsumption[@unit='kWh/t-km']</v>
      </c>
      <c r="H36" s="78" t="str">
        <f t="shared" si="8"/>
        <v>/VectoCustomerInformation/Data/Results/Result/Total/ElectricEnergy/EnergyConsumption[@unit='kWh/t-km']</v>
      </c>
      <c r="I36" s="78" t="str">
        <f t="shared" si="9"/>
        <v>/VectoCustomerInformation/Data/Results/Result/OVCMode[@type='charge depleting']/ElectricEnergy/EnergyConsumption[@unit='kWh/t-km']</v>
      </c>
      <c r="J36" s="78" t="str">
        <f t="shared" si="10"/>
        <v>/VectoCustomerInformation/Data/Results/Result/OVCMode[@type='charge sustaining']/ElectricEnergy/EnergyConsumption[@unit='kWh/t-km']</v>
      </c>
      <c r="K36" s="78" t="str">
        <f t="shared" si="11"/>
        <v>/VectoCustomerInformation/Data/Results/Result/Total/ElectricEnergy/EnergyConsumption[@unit='kWh/t-km']</v>
      </c>
      <c r="L36" s="38"/>
    </row>
    <row r="37" spans="4:12" x14ac:dyDescent="0.25">
      <c r="D37" s="85"/>
      <c r="E37" s="42" t="s">
        <v>299</v>
      </c>
      <c r="F37" s="78" t="str">
        <f t="shared" si="6"/>
        <v>/VectoCustomerInformation/Data/Results/Result/OVCMode[@type='charge depleting']/ElectricEnergy/EnergyConsumption[@unit='kWh/p-km']</v>
      </c>
      <c r="G37" s="78" t="str">
        <f t="shared" si="7"/>
        <v>/VectoCustomerInformation/Data/Results/Result/OVCMode[@type='charge sustaining']/ElectricEnergy/EnergyConsumption[@unit='kWh/p-km']</v>
      </c>
      <c r="H37" s="78" t="str">
        <f t="shared" si="8"/>
        <v>/VectoCustomerInformation/Data/Results/Result/Total/ElectricEnergy/EnergyConsumption[@unit='kWh/p-km']</v>
      </c>
      <c r="I37" s="78" t="str">
        <f t="shared" si="9"/>
        <v>/VectoCustomerInformation/Data/Results/Result/OVCMode[@type='charge depleting']/ElectricEnergy/EnergyConsumption[@unit='kWh/p-km']</v>
      </c>
      <c r="J37" s="78" t="str">
        <f t="shared" si="10"/>
        <v>/VectoCustomerInformation/Data/Results/Result/OVCMode[@type='charge sustaining']/ElectricEnergy/EnergyConsumption[@unit='kWh/p-km']</v>
      </c>
      <c r="K37" s="78" t="str">
        <f t="shared" si="11"/>
        <v>/VectoCustomerInformation/Data/Results/Result/Total/ElectricEnergy/EnergyConsumption[@unit='kWh/p-km']</v>
      </c>
      <c r="L37" s="38"/>
    </row>
    <row r="38" spans="4:12" x14ac:dyDescent="0.25">
      <c r="D38" s="85"/>
      <c r="E38" s="42" t="s">
        <v>293</v>
      </c>
      <c r="F38" s="78" t="str">
        <f t="shared" si="6"/>
        <v>/VectoCustomerInformation/Data/Results/Result/OVCMode[@type='charge depleting']/ElectricEnergy/EnergyConsumption[@unit='kWh/m³-km']</v>
      </c>
      <c r="G38" s="78" t="str">
        <f t="shared" si="7"/>
        <v>/VectoCustomerInformation/Data/Results/Result/OVCMode[@type='charge sustaining']/ElectricEnergy/EnergyConsumption[@unit='kWh/m³-km']</v>
      </c>
      <c r="H38" s="78" t="str">
        <f t="shared" si="8"/>
        <v>/VectoCustomerInformation/Data/Results/Result/Total/ElectricEnergy/EnergyConsumption[@unit='kWh/m³-km']</v>
      </c>
      <c r="I38" s="78" t="str">
        <f t="shared" si="9"/>
        <v>/VectoCustomerInformation/Data/Results/Result/OVCMode[@type='charge depleting']/ElectricEnergy/EnergyConsumption[@unit='kWh/m³-km']</v>
      </c>
      <c r="J38" s="78" t="str">
        <f t="shared" si="10"/>
        <v>/VectoCustomerInformation/Data/Results/Result/OVCMode[@type='charge sustaining']/ElectricEnergy/EnergyConsumption[@unit='kWh/m³-km']</v>
      </c>
      <c r="K38" s="78" t="str">
        <f t="shared" si="11"/>
        <v>/VectoCustomerInformation/Data/Results/Result/Total/ElectricEnergy/EnergyConsumption[@unit='kWh/m³-km']</v>
      </c>
      <c r="L38" s="38"/>
    </row>
    <row r="39" spans="4:12" x14ac:dyDescent="0.25">
      <c r="D39" s="85"/>
      <c r="E39" s="42" t="s">
        <v>288</v>
      </c>
      <c r="F39" s="78" t="str">
        <f t="shared" si="6"/>
        <v>/VectoCustomerInformation/Data/Results/Result/OVCMode[@type='charge depleting']/ElectricEnergy/EnergyConsumption[@unit='MJ/km']</v>
      </c>
      <c r="G39" s="78" t="str">
        <f t="shared" si="7"/>
        <v>/VectoCustomerInformation/Data/Results/Result/OVCMode[@type='charge sustaining']/ElectricEnergy/EnergyConsumption[@unit='MJ/km']</v>
      </c>
      <c r="H39" s="78" t="str">
        <f t="shared" si="8"/>
        <v>/VectoCustomerInformation/Data/Results/Result/Total/ElectricEnergy/EnergyConsumption[@unit='MJ/km']</v>
      </c>
      <c r="I39" s="78" t="str">
        <f t="shared" si="9"/>
        <v>/VectoCustomerInformation/Data/Results/Result/OVCMode[@type='charge depleting']/ElectricEnergy/EnergyConsumption[@unit='MJ/km']</v>
      </c>
      <c r="J39" s="78" t="str">
        <f t="shared" si="10"/>
        <v>/VectoCustomerInformation/Data/Results/Result/OVCMode[@type='charge sustaining']/ElectricEnergy/EnergyConsumption[@unit='MJ/km']</v>
      </c>
      <c r="K39" s="78" t="str">
        <f t="shared" si="11"/>
        <v>/VectoCustomerInformation/Data/Results/Result/Total/ElectricEnergy/EnergyConsumption[@unit='MJ/km']</v>
      </c>
      <c r="L39" s="38"/>
    </row>
    <row r="40" spans="4:12" x14ac:dyDescent="0.25">
      <c r="D40" s="85"/>
      <c r="E40" s="42" t="s">
        <v>289</v>
      </c>
      <c r="F40" s="78" t="str">
        <f t="shared" si="6"/>
        <v>/VectoCustomerInformation/Data/Results/Result/OVCMode[@type='charge depleting']/ElectricEnergy/EnergyConsumption[@unit='MJ/t-km']</v>
      </c>
      <c r="G40" s="78" t="str">
        <f t="shared" si="7"/>
        <v>/VectoCustomerInformation/Data/Results/Result/OVCMode[@type='charge sustaining']/ElectricEnergy/EnergyConsumption[@unit='MJ/t-km']</v>
      </c>
      <c r="H40" s="78" t="str">
        <f t="shared" si="8"/>
        <v>/VectoCustomerInformation/Data/Results/Result/Total/ElectricEnergy/EnergyConsumption[@unit='MJ/t-km']</v>
      </c>
      <c r="I40" s="78" t="str">
        <f t="shared" si="9"/>
        <v>/VectoCustomerInformation/Data/Results/Result/OVCMode[@type='charge depleting']/ElectricEnergy/EnergyConsumption[@unit='MJ/t-km']</v>
      </c>
      <c r="J40" s="78" t="str">
        <f t="shared" si="10"/>
        <v>/VectoCustomerInformation/Data/Results/Result/OVCMode[@type='charge sustaining']/ElectricEnergy/EnergyConsumption[@unit='MJ/t-km']</v>
      </c>
      <c r="K40" s="78" t="str">
        <f t="shared" si="11"/>
        <v>/VectoCustomerInformation/Data/Results/Result/Total/ElectricEnergy/EnergyConsumption[@unit='MJ/t-km']</v>
      </c>
      <c r="L40" s="38"/>
    </row>
    <row r="41" spans="4:12" x14ac:dyDescent="0.25">
      <c r="D41" s="85"/>
      <c r="E41" s="42" t="s">
        <v>295</v>
      </c>
      <c r="F41" s="78" t="str">
        <f t="shared" si="6"/>
        <v>/VectoCustomerInformation/Data/Results/Result/OVCMode[@type='charge depleting']/ElectricEnergy/EnergyConsumption[@unit='MJ/p-km']</v>
      </c>
      <c r="G41" s="78" t="str">
        <f t="shared" si="7"/>
        <v>/VectoCustomerInformation/Data/Results/Result/OVCMode[@type='charge sustaining']/ElectricEnergy/EnergyConsumption[@unit='MJ/p-km']</v>
      </c>
      <c r="H41" s="78" t="str">
        <f t="shared" si="8"/>
        <v>/VectoCustomerInformation/Data/Results/Result/Total/ElectricEnergy/EnergyConsumption[@unit='MJ/p-km']</v>
      </c>
      <c r="I41" s="78" t="str">
        <f t="shared" si="9"/>
        <v>/VectoCustomerInformation/Data/Results/Result/OVCMode[@type='charge depleting']/ElectricEnergy/EnergyConsumption[@unit='MJ/p-km']</v>
      </c>
      <c r="J41" s="78" t="str">
        <f t="shared" si="10"/>
        <v>/VectoCustomerInformation/Data/Results/Result/OVCMode[@type='charge sustaining']/ElectricEnergy/EnergyConsumption[@unit='MJ/p-km']</v>
      </c>
      <c r="K41" s="78" t="str">
        <f t="shared" si="11"/>
        <v>/VectoCustomerInformation/Data/Results/Result/Total/ElectricEnergy/EnergyConsumption[@unit='MJ/p-km']</v>
      </c>
    </row>
    <row r="42" spans="4:12" x14ac:dyDescent="0.25">
      <c r="D42" s="85"/>
      <c r="E42" s="42" t="s">
        <v>290</v>
      </c>
      <c r="F42" s="78" t="str">
        <f t="shared" si="6"/>
        <v>/VectoCustomerInformation/Data/Results/Result/OVCMode[@type='charge depleting']/ElectricEnergy/EnergyConsumption[@unit='MJ/m³-km']</v>
      </c>
      <c r="G42" s="78" t="str">
        <f t="shared" si="7"/>
        <v>/VectoCustomerInformation/Data/Results/Result/OVCMode[@type='charge sustaining']/ElectricEnergy/EnergyConsumption[@unit='MJ/m³-km']</v>
      </c>
      <c r="H42" s="78" t="str">
        <f t="shared" si="8"/>
        <v>/VectoCustomerInformation/Data/Results/Result/Total/ElectricEnergy/EnergyConsumption[@unit='MJ/m³-km']</v>
      </c>
      <c r="I42" s="78" t="str">
        <f t="shared" si="9"/>
        <v>/VectoCustomerInformation/Data/Results/Result/OVCMode[@type='charge depleting']/ElectricEnergy/EnergyConsumption[@unit='MJ/m³-km']</v>
      </c>
      <c r="J42" s="78" t="str">
        <f t="shared" si="10"/>
        <v>/VectoCustomerInformation/Data/Results/Result/OVCMode[@type='charge sustaining']/ElectricEnergy/EnergyConsumption[@unit='MJ/m³-km']</v>
      </c>
      <c r="K42" s="78" t="str">
        <f t="shared" si="11"/>
        <v>/VectoCustomerInformation/Data/Results/Result/Total/ElectricEnergy/EnergyConsumption[@unit='MJ/m³-km']</v>
      </c>
    </row>
    <row r="43" spans="4:12" x14ac:dyDescent="0.25">
      <c r="D43" s="85" t="s">
        <v>3</v>
      </c>
      <c r="E43" s="42" t="s">
        <v>285</v>
      </c>
      <c r="F43" s="78" t="str">
        <f>CONCATENATE("/VectoCustomerInformation/Data/Results/Result/OVCMode[@type='charge depleting']/CO2[@unit='",E43,"']")</f>
        <v>/VectoCustomerInformation/Data/Results/Result/OVCMode[@type='charge depleting']/CO2[@unit='g/km']</v>
      </c>
      <c r="G43" s="78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H43" s="78" t="str">
        <f>CONCATENATE("/VectoCustomerInformation/Data/Results/Result/Total/CO2[@unit='",E42,"']")</f>
        <v>/VectoCustomerInformation/Data/Results/Result/Total/CO2[@unit='MJ/m³-km']</v>
      </c>
      <c r="I43" s="78" t="str">
        <f>CONCATENATE("/VectoCustomerInformation/Data/Results/Result/OVCMode[@type='charge depleting']/CO2[@unit='",E43,"']")</f>
        <v>/VectoCustomerInformation/Data/Results/Result/OVCMode[@type='charge depleting']/CO2[@unit='g/km']</v>
      </c>
      <c r="J43" s="78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K43" s="78" t="str">
        <f t="shared" si="11"/>
        <v>/VectoCustomerInformation/Data/Results/Result/Total/ElectricEnergy/EnergyConsumption[@unit='g/km']</v>
      </c>
    </row>
    <row r="44" spans="4:12" x14ac:dyDescent="0.25">
      <c r="D44" s="85"/>
      <c r="E44" s="42" t="s">
        <v>286</v>
      </c>
      <c r="F44" s="78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G44" s="78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H44" s="78" t="str">
        <f>CONCATENATE("/VectoCustomerInformation/Data/Results/Result/Total/CO2[@unit='",E43,"']")</f>
        <v>/VectoCustomerInformation/Data/Results/Result/Total/CO2[@unit='g/km']</v>
      </c>
      <c r="I44" s="78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J44" s="78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K44" s="78" t="str">
        <f>CONCATENATE("/VectoCustomerInformation/Data/Results/Result/Total/CO2[@unit='",E43,"']")</f>
        <v>/VectoCustomerInformation/Data/Results/Result/Total/CO2[@unit='g/km']</v>
      </c>
    </row>
    <row r="45" spans="4:12" x14ac:dyDescent="0.25">
      <c r="D45" s="85"/>
      <c r="E45" s="42" t="s">
        <v>294</v>
      </c>
      <c r="F45" s="78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G45" s="78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H45" s="78" t="str">
        <f>CONCATENATE("/VectoCustomerInformation/Data/Results/Result/Total/CO2[@unit='",E44,"']")</f>
        <v>/VectoCustomerInformation/Data/Results/Result/Total/CO2[@unit='g/t-km']</v>
      </c>
      <c r="I45" s="78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J45" s="78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K45" s="78" t="str">
        <f>CONCATENATE("/VectoCustomerInformation/Data/Results/Result/Total/CO2[@unit='",E44,"']")</f>
        <v>/VectoCustomerInformation/Data/Results/Result/Total/CO2[@unit='g/t-km']</v>
      </c>
    </row>
    <row r="46" spans="4:12" x14ac:dyDescent="0.25">
      <c r="D46" s="85"/>
      <c r="E46" s="42" t="s">
        <v>287</v>
      </c>
      <c r="F46" s="78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G46" s="78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H46" s="78" t="str">
        <f>CONCATENATE("/VectoCustomerInformation/Data/Results/Result/Total/CO2[@unit='",E45,"']")</f>
        <v>/VectoCustomerInformation/Data/Results/Result/Total/CO2[@unit='g/p-km']</v>
      </c>
      <c r="I46" s="78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J46" s="78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K46" s="78" t="str">
        <f>CONCATENATE("/VectoCustomerInformation/Data/Results/Result/Total/CO2[@unit='",E45,"']")</f>
        <v>/VectoCustomerInformation/Data/Results/Result/Total/CO2[@unit='g/p-km']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78" t="s">
        <v>723</v>
      </c>
      <c r="I47" s="1" t="s">
        <v>9</v>
      </c>
      <c r="J47" s="1" t="s">
        <v>9</v>
      </c>
      <c r="K47" s="78" t="s">
        <v>723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78" t="s">
        <v>724</v>
      </c>
      <c r="I48" s="1" t="s">
        <v>9</v>
      </c>
      <c r="J48" s="1" t="s">
        <v>9</v>
      </c>
      <c r="K48" s="78" t="s">
        <v>724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8" t="s">
        <v>725</v>
      </c>
      <c r="I49" s="1" t="s">
        <v>9</v>
      </c>
      <c r="J49" s="1" t="s">
        <v>9</v>
      </c>
      <c r="K49" s="78" t="s">
        <v>725</v>
      </c>
    </row>
    <row r="50" spans="2:11" x14ac:dyDescent="0.25">
      <c r="D50" s="48" t="s">
        <v>325</v>
      </c>
      <c r="E50" s="43" t="s">
        <v>7</v>
      </c>
      <c r="F50" s="1" t="s">
        <v>9</v>
      </c>
      <c r="G50" s="1" t="s">
        <v>9</v>
      </c>
      <c r="H50" s="78" t="s">
        <v>726</v>
      </c>
      <c r="I50" s="1" t="s">
        <v>9</v>
      </c>
      <c r="J50" s="1" t="s">
        <v>9</v>
      </c>
      <c r="K50" s="78" t="s">
        <v>726</v>
      </c>
    </row>
    <row r="51" spans="2:11" x14ac:dyDescent="0.25">
      <c r="D51" s="85" t="s">
        <v>312</v>
      </c>
      <c r="E51" s="43" t="s">
        <v>285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85"/>
      <c r="E52" s="43" t="s">
        <v>294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85"/>
      <c r="E53" s="43" t="s">
        <v>314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85"/>
      <c r="E54" s="43" t="s">
        <v>297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85"/>
      <c r="E55" s="43" t="s">
        <v>288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85"/>
      <c r="E56" s="43" t="s">
        <v>295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85" t="s">
        <v>313</v>
      </c>
      <c r="E57" s="43" t="s">
        <v>285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85"/>
      <c r="E58" s="43" t="s">
        <v>294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275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8" x14ac:dyDescent="0.25">
      <c r="D65" s="77" t="s">
        <v>303</v>
      </c>
      <c r="E65" s="42" t="s">
        <v>304</v>
      </c>
      <c r="F65" s="78" t="s">
        <v>727</v>
      </c>
    </row>
    <row r="66" spans="4:8" x14ac:dyDescent="0.25">
      <c r="D66" s="77" t="s">
        <v>305</v>
      </c>
      <c r="E66" s="42" t="s">
        <v>283</v>
      </c>
      <c r="F66" s="78" t="s">
        <v>728</v>
      </c>
    </row>
    <row r="67" spans="4:8" x14ac:dyDescent="0.25">
      <c r="D67" s="85" t="s">
        <v>307</v>
      </c>
      <c r="E67" s="42" t="s">
        <v>306</v>
      </c>
      <c r="F67" s="78" t="str">
        <f>CONCATENATE("/VectoCustomerInformation/Data/Results/Summary/CO2[@unit='",E67,"']")</f>
        <v>/VectoCustomerInformation/Data/Results/Summary/CO2[@unit='gCO2/t-km']</v>
      </c>
    </row>
    <row r="68" spans="4:8" x14ac:dyDescent="0.25">
      <c r="D68" s="85"/>
      <c r="E68" s="42" t="s">
        <v>308</v>
      </c>
      <c r="F68" s="78" t="str">
        <f>CONCATENATE("/VectoCustomerInformation/Data/Results/Summary/CO2[@unit='",E68,"']")</f>
        <v>/VectoCustomerInformation/Data/Results/Summary/CO2[@unit='gCO2/p-km']</v>
      </c>
    </row>
    <row r="69" spans="4:8" x14ac:dyDescent="0.25">
      <c r="D69" s="85" t="s">
        <v>309</v>
      </c>
      <c r="E69" s="42" t="s">
        <v>285</v>
      </c>
      <c r="F69" s="78" t="str">
        <f>CONCATENATE("/VectoCustomerInformation/Data/Results/Summary/CO2[@unit='",E69,"']")</f>
        <v>/VectoCustomerInformation/Data/Results/Summary/CO2[@unit='g/km']</v>
      </c>
    </row>
    <row r="70" spans="4:8" x14ac:dyDescent="0.25">
      <c r="D70" s="85"/>
      <c r="E70" s="42" t="s">
        <v>287</v>
      </c>
      <c r="F70" s="78" t="str">
        <f>CONCATENATE("/VectoCustomerInformation/Data/Results/Summary/CO2[@unit='",E70,"']")</f>
        <v>/VectoCustomerInformation/Data/Results/Summary/CO2[@unit='g/m³-km']</v>
      </c>
    </row>
    <row r="71" spans="4:8" x14ac:dyDescent="0.25">
      <c r="D71" s="85" t="s">
        <v>281</v>
      </c>
      <c r="E71" s="42" t="s">
        <v>285</v>
      </c>
      <c r="F71" s="78" t="str">
        <f t="shared" ref="F71:F81" si="12">CONCATENATE("/VectoCustomerInformation/Data/Results/Summary/Fuel/FuelConsumption[@unit='",E71,"']")</f>
        <v>/VectoCustomerInformation/Data/Results/Summary/Fuel/FuelConsumption[@unit='g/km']</v>
      </c>
      <c r="H71" s="84"/>
    </row>
    <row r="72" spans="4:8" x14ac:dyDescent="0.25">
      <c r="D72" s="85"/>
      <c r="E72" s="42" t="s">
        <v>286</v>
      </c>
      <c r="F72" s="78" t="str">
        <f t="shared" si="12"/>
        <v>/VectoCustomerInformation/Data/Results/Summary/Fuel/FuelConsumption[@unit='g/t-km']</v>
      </c>
    </row>
    <row r="73" spans="4:8" x14ac:dyDescent="0.25">
      <c r="D73" s="85"/>
      <c r="E73" s="42" t="s">
        <v>294</v>
      </c>
      <c r="F73" s="78" t="str">
        <f t="shared" si="12"/>
        <v>/VectoCustomerInformation/Data/Results/Summary/Fuel/FuelConsumption[@unit='g/p-km']</v>
      </c>
    </row>
    <row r="74" spans="4:8" x14ac:dyDescent="0.25">
      <c r="D74" s="85"/>
      <c r="E74" s="42" t="s">
        <v>287</v>
      </c>
      <c r="F74" s="78" t="str">
        <f t="shared" si="12"/>
        <v>/VectoCustomerInformation/Data/Results/Summary/Fuel/FuelConsumption[@unit='g/m³-km']</v>
      </c>
    </row>
    <row r="75" spans="4:8" x14ac:dyDescent="0.25">
      <c r="D75" s="85"/>
      <c r="E75" s="42" t="s">
        <v>314</v>
      </c>
      <c r="F75" s="78" t="str">
        <f t="shared" si="12"/>
        <v>/VectoCustomerInformation/Data/Results/Summary/Fuel/FuelConsumption[@unit='l/100km']</v>
      </c>
    </row>
    <row r="76" spans="4:8" x14ac:dyDescent="0.25">
      <c r="D76" s="85"/>
      <c r="E76" s="42" t="s">
        <v>296</v>
      </c>
      <c r="F76" s="78" t="str">
        <f t="shared" si="12"/>
        <v>/VectoCustomerInformation/Data/Results/Summary/Fuel/FuelConsumption[@unit='l/t-km']</v>
      </c>
    </row>
    <row r="77" spans="4:8" x14ac:dyDescent="0.25">
      <c r="D77" s="85"/>
      <c r="E77" s="42" t="s">
        <v>297</v>
      </c>
      <c r="F77" s="78" t="str">
        <f t="shared" si="12"/>
        <v>/VectoCustomerInformation/Data/Results/Summary/Fuel/FuelConsumption[@unit='l/p-km']</v>
      </c>
    </row>
    <row r="78" spans="4:8" x14ac:dyDescent="0.25">
      <c r="D78" s="85"/>
      <c r="E78" s="42" t="s">
        <v>298</v>
      </c>
      <c r="F78" s="78" t="str">
        <f t="shared" si="12"/>
        <v>/VectoCustomerInformation/Data/Results/Summary/Fuel/FuelConsumption[@unit='l/m³-km']</v>
      </c>
    </row>
    <row r="79" spans="4:8" x14ac:dyDescent="0.25">
      <c r="D79" s="85"/>
      <c r="E79" s="42" t="s">
        <v>288</v>
      </c>
      <c r="F79" s="78" t="str">
        <f t="shared" si="12"/>
        <v>/VectoCustomerInformation/Data/Results/Summary/Fuel/FuelConsumption[@unit='MJ/km']</v>
      </c>
    </row>
    <row r="80" spans="4:8" x14ac:dyDescent="0.25">
      <c r="D80" s="85"/>
      <c r="E80" s="42" t="s">
        <v>289</v>
      </c>
      <c r="F80" s="78" t="str">
        <f t="shared" si="12"/>
        <v>/VectoCustomerInformation/Data/Results/Summary/Fuel/FuelConsumption[@unit='MJ/t-km']</v>
      </c>
    </row>
    <row r="81" spans="4:6" x14ac:dyDescent="0.25">
      <c r="D81" s="85"/>
      <c r="E81" s="42" t="s">
        <v>295</v>
      </c>
      <c r="F81" s="78" t="str">
        <f t="shared" si="12"/>
        <v>/VectoCustomerInformation/Data/Results/Summary/Fuel/FuelConsumption[@unit='MJ/p-km']</v>
      </c>
    </row>
    <row r="82" spans="4:6" x14ac:dyDescent="0.25">
      <c r="D82" s="85"/>
      <c r="E82" s="42" t="s">
        <v>290</v>
      </c>
      <c r="F82" s="78" t="str">
        <f t="shared" ref="F82:F90" si="13">CONCATENATE("/VectoCustomerInformation/Data/Results/Summary/ElectricEnergy/EnergyConsumption[@unit='",E82,"']")</f>
        <v>/VectoCustomerInformation/Data/Results/Summary/ElectricEnergy/EnergyConsumption[@unit='MJ/m³-km']</v>
      </c>
    </row>
    <row r="83" spans="4:6" x14ac:dyDescent="0.25">
      <c r="D83" s="85" t="s">
        <v>310</v>
      </c>
      <c r="E83" s="42" t="s">
        <v>292</v>
      </c>
      <c r="F83" s="78" t="str">
        <f t="shared" si="13"/>
        <v>/VectoCustomerInformation/Data/Results/Summary/ElectricEnergy/EnergyConsumption[@unit='kWh/t-km']</v>
      </c>
    </row>
    <row r="84" spans="4:6" x14ac:dyDescent="0.25">
      <c r="D84" s="85"/>
      <c r="E84" s="42" t="s">
        <v>299</v>
      </c>
      <c r="F84" s="78" t="str">
        <f t="shared" si="13"/>
        <v>/VectoCustomerInformation/Data/Results/Summary/ElectricEnergy/EnergyConsumption[@unit='kWh/p-km']</v>
      </c>
    </row>
    <row r="85" spans="4:6" x14ac:dyDescent="0.25">
      <c r="D85" s="85" t="s">
        <v>311</v>
      </c>
      <c r="E85" s="42" t="s">
        <v>291</v>
      </c>
      <c r="F85" s="78" t="str">
        <f t="shared" si="13"/>
        <v>/VectoCustomerInformation/Data/Results/Summary/ElectricEnergy/EnergyConsumption[@unit='kWh/km']</v>
      </c>
    </row>
    <row r="86" spans="4:6" x14ac:dyDescent="0.25">
      <c r="D86" s="85"/>
      <c r="E86" s="42" t="s">
        <v>293</v>
      </c>
      <c r="F86" s="78" t="str">
        <f t="shared" si="13"/>
        <v>/VectoCustomerInformation/Data/Results/Summary/ElectricEnergy/EnergyConsumption[@unit='kWh/m³-km']</v>
      </c>
    </row>
    <row r="87" spans="4:6" x14ac:dyDescent="0.25">
      <c r="D87" s="85"/>
      <c r="E87" s="42" t="s">
        <v>289</v>
      </c>
      <c r="F87" s="78" t="str">
        <f t="shared" si="13"/>
        <v>/VectoCustomerInformation/Data/Results/Summary/ElectricEnergy/EnergyConsumption[@unit='MJ/t-km']</v>
      </c>
    </row>
    <row r="88" spans="4:6" x14ac:dyDescent="0.25">
      <c r="D88" s="85"/>
      <c r="E88" s="42" t="s">
        <v>295</v>
      </c>
      <c r="F88" s="78" t="str">
        <f t="shared" si="13"/>
        <v>/VectoCustomerInformation/Data/Results/Summary/ElectricEnergy/EnergyConsumption[@unit='MJ/p-km']</v>
      </c>
    </row>
    <row r="89" spans="4:6" x14ac:dyDescent="0.25">
      <c r="D89" s="85"/>
      <c r="E89" s="42" t="s">
        <v>288</v>
      </c>
      <c r="F89" s="78" t="str">
        <f t="shared" si="13"/>
        <v>/VectoCustomerInformation/Data/Results/Summary/ElectricEnergy/EnergyConsumption[@unit='MJ/km']</v>
      </c>
    </row>
    <row r="90" spans="4:6" x14ac:dyDescent="0.25">
      <c r="D90" s="85"/>
      <c r="E90" s="42" t="s">
        <v>290</v>
      </c>
      <c r="F90" s="78" t="str">
        <f t="shared" si="13"/>
        <v>/VectoCustomerInformation/Data/Results/Summary/ElectricEnergy/EnergyConsumption[@unit='MJ/m³-km']</v>
      </c>
    </row>
    <row r="91" spans="4:6" x14ac:dyDescent="0.25">
      <c r="D91" s="77" t="s">
        <v>300</v>
      </c>
      <c r="E91" s="43" t="s">
        <v>6</v>
      </c>
      <c r="F91" s="78" t="s">
        <v>729</v>
      </c>
    </row>
    <row r="92" spans="4:6" x14ac:dyDescent="0.25">
      <c r="D92" s="77" t="s">
        <v>301</v>
      </c>
      <c r="E92" s="43" t="s">
        <v>6</v>
      </c>
      <c r="F92" s="78" t="s">
        <v>730</v>
      </c>
    </row>
    <row r="93" spans="4:6" x14ac:dyDescent="0.25">
      <c r="D93" s="48" t="s">
        <v>5</v>
      </c>
      <c r="E93" s="43" t="s">
        <v>6</v>
      </c>
      <c r="F93" s="78" t="s">
        <v>731</v>
      </c>
    </row>
    <row r="94" spans="4:6" x14ac:dyDescent="0.25">
      <c r="D94" s="85" t="s">
        <v>312</v>
      </c>
      <c r="E94" s="43" t="s">
        <v>285</v>
      </c>
      <c r="F94" s="1" t="s">
        <v>9</v>
      </c>
    </row>
    <row r="95" spans="4:6" x14ac:dyDescent="0.25">
      <c r="D95" s="85"/>
      <c r="E95" s="43" t="s">
        <v>294</v>
      </c>
      <c r="F95" s="1" t="s">
        <v>9</v>
      </c>
    </row>
    <row r="96" spans="4:6" x14ac:dyDescent="0.25">
      <c r="D96" s="85"/>
      <c r="E96" s="43" t="s">
        <v>314</v>
      </c>
      <c r="F96" s="1" t="s">
        <v>9</v>
      </c>
    </row>
    <row r="97" spans="4:6" x14ac:dyDescent="0.25">
      <c r="D97" s="85"/>
      <c r="E97" s="43" t="s">
        <v>297</v>
      </c>
      <c r="F97" s="1" t="s">
        <v>9</v>
      </c>
    </row>
    <row r="98" spans="4:6" x14ac:dyDescent="0.25">
      <c r="D98" s="85"/>
      <c r="E98" s="43" t="s">
        <v>288</v>
      </c>
      <c r="F98" s="1" t="s">
        <v>9</v>
      </c>
    </row>
    <row r="99" spans="4:6" x14ac:dyDescent="0.25">
      <c r="D99" s="85"/>
      <c r="E99" s="43" t="s">
        <v>295</v>
      </c>
      <c r="F99" s="1" t="s">
        <v>9</v>
      </c>
    </row>
    <row r="100" spans="4:6" x14ac:dyDescent="0.25">
      <c r="D100" s="85" t="s">
        <v>313</v>
      </c>
      <c r="E100" s="43" t="s">
        <v>285</v>
      </c>
      <c r="F100" s="1" t="s">
        <v>9</v>
      </c>
    </row>
    <row r="101" spans="4:6" x14ac:dyDescent="0.25">
      <c r="D101" s="85"/>
      <c r="E101" s="43" t="s">
        <v>294</v>
      </c>
      <c r="F101" s="1" t="s">
        <v>9</v>
      </c>
    </row>
  </sheetData>
  <mergeCells count="26">
    <mergeCell ref="D100:D101"/>
    <mergeCell ref="D85:D90"/>
    <mergeCell ref="D94:D99"/>
    <mergeCell ref="D71:D82"/>
    <mergeCell ref="D83:D84"/>
    <mergeCell ref="D67:D68"/>
    <mergeCell ref="D69:D70"/>
    <mergeCell ref="D51:D56"/>
    <mergeCell ref="D57:D58"/>
    <mergeCell ref="D35:D42"/>
    <mergeCell ref="D43:D46"/>
    <mergeCell ref="D21:E21"/>
    <mergeCell ref="D23:D34"/>
    <mergeCell ref="F19:H19"/>
    <mergeCell ref="I19:K19"/>
    <mergeCell ref="D15:E15"/>
    <mergeCell ref="F15:K15"/>
    <mergeCell ref="D16:D17"/>
    <mergeCell ref="F16:H16"/>
    <mergeCell ref="I16:K16"/>
    <mergeCell ref="F18:H18"/>
    <mergeCell ref="I20:K20"/>
    <mergeCell ref="F20:H20"/>
    <mergeCell ref="I18:K18"/>
    <mergeCell ref="F17:H17"/>
    <mergeCell ref="I17:K17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101"/>
  <sheetViews>
    <sheetView topLeftCell="A46" zoomScale="90" zoomScaleNormal="90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326</v>
      </c>
    </row>
    <row r="5" spans="2:11" x14ac:dyDescent="0.25">
      <c r="C5" s="1" t="s">
        <v>9</v>
      </c>
      <c r="D5" t="s">
        <v>323</v>
      </c>
    </row>
    <row r="7" spans="2:11" ht="15.75" x14ac:dyDescent="0.25">
      <c r="B7" s="54"/>
    </row>
    <row r="11" spans="2:11" s="82" customFormat="1" ht="15.75" x14ac:dyDescent="0.25">
      <c r="B11" s="54" t="s">
        <v>327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276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93" t="s">
        <v>0</v>
      </c>
      <c r="E15" s="93"/>
      <c r="F15" s="92" t="s">
        <v>715</v>
      </c>
      <c r="G15" s="92"/>
      <c r="H15" s="92"/>
      <c r="I15" s="92"/>
      <c r="J15" s="92"/>
      <c r="K15" s="92"/>
    </row>
    <row r="16" spans="2:11" x14ac:dyDescent="0.25">
      <c r="D16" s="87" t="s">
        <v>1</v>
      </c>
      <c r="E16" s="42" t="s">
        <v>283</v>
      </c>
      <c r="F16" s="98" t="s">
        <v>8</v>
      </c>
      <c r="G16" s="99"/>
      <c r="H16" s="100"/>
      <c r="I16" s="98" t="s">
        <v>302</v>
      </c>
      <c r="J16" s="99"/>
      <c r="K16" s="100"/>
    </row>
    <row r="17" spans="4:33" x14ac:dyDescent="0.25">
      <c r="D17" s="88"/>
      <c r="E17" s="42" t="s">
        <v>282</v>
      </c>
      <c r="F17" s="94" t="s">
        <v>715</v>
      </c>
      <c r="G17" s="94"/>
      <c r="H17" s="94"/>
      <c r="I17" s="94" t="s">
        <v>715</v>
      </c>
      <c r="J17" s="94"/>
      <c r="K17" s="94"/>
      <c r="L17" s="21"/>
    </row>
    <row r="18" spans="4:33" x14ac:dyDescent="0.25">
      <c r="D18" s="77" t="s">
        <v>277</v>
      </c>
      <c r="E18" s="42" t="s">
        <v>283</v>
      </c>
      <c r="F18" s="94" t="s">
        <v>717</v>
      </c>
      <c r="G18" s="94"/>
      <c r="H18" s="94"/>
      <c r="I18" s="94" t="s">
        <v>717</v>
      </c>
      <c r="J18" s="94"/>
      <c r="K18" s="94"/>
      <c r="L18" s="21"/>
    </row>
    <row r="19" spans="4:33" x14ac:dyDescent="0.25">
      <c r="D19" s="77" t="s">
        <v>278</v>
      </c>
      <c r="E19" s="42" t="s">
        <v>282</v>
      </c>
      <c r="F19" s="94" t="s">
        <v>718</v>
      </c>
      <c r="G19" s="94"/>
      <c r="H19" s="94"/>
      <c r="I19" s="94" t="s">
        <v>718</v>
      </c>
      <c r="J19" s="94"/>
      <c r="K19" s="94"/>
      <c r="L19" s="21"/>
    </row>
    <row r="20" spans="4:33" x14ac:dyDescent="0.25">
      <c r="D20" s="77" t="s">
        <v>279</v>
      </c>
      <c r="E20" s="42" t="s">
        <v>282</v>
      </c>
      <c r="F20" s="94" t="s">
        <v>719</v>
      </c>
      <c r="G20" s="94"/>
      <c r="H20" s="94"/>
      <c r="I20" s="94" t="s">
        <v>719</v>
      </c>
      <c r="J20" s="94"/>
      <c r="K20" s="94"/>
      <c r="L20" s="21"/>
    </row>
    <row r="21" spans="4:33" s="45" customFormat="1" ht="45" x14ac:dyDescent="0.25">
      <c r="D21" s="85" t="s">
        <v>2</v>
      </c>
      <c r="E21" s="85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4:33" x14ac:dyDescent="0.25">
      <c r="D22" s="77" t="s">
        <v>280</v>
      </c>
      <c r="E22" s="42" t="s">
        <v>284</v>
      </c>
      <c r="F22" s="1" t="s">
        <v>9</v>
      </c>
      <c r="G22" s="1" t="s">
        <v>9</v>
      </c>
      <c r="H22" s="78" t="s">
        <v>720</v>
      </c>
      <c r="I22" s="1" t="s">
        <v>9</v>
      </c>
      <c r="J22" s="1" t="s">
        <v>9</v>
      </c>
      <c r="K22" s="78" t="s">
        <v>720</v>
      </c>
      <c r="L22" s="21"/>
    </row>
    <row r="23" spans="4:33" x14ac:dyDescent="0.25">
      <c r="D23" s="85" t="s">
        <v>281</v>
      </c>
      <c r="E23" s="42" t="s">
        <v>285</v>
      </c>
      <c r="F23" s="1" t="s">
        <v>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21"/>
    </row>
    <row r="24" spans="4:33" x14ac:dyDescent="0.25">
      <c r="D24" s="85"/>
      <c r="E24" s="42" t="s">
        <v>286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21"/>
    </row>
    <row r="25" spans="4:33" x14ac:dyDescent="0.25">
      <c r="D25" s="85"/>
      <c r="E25" s="42" t="s">
        <v>294</v>
      </c>
      <c r="F25" s="1" t="s">
        <v>9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21"/>
    </row>
    <row r="26" spans="4:33" x14ac:dyDescent="0.25">
      <c r="D26" s="85"/>
      <c r="E26" s="42" t="s">
        <v>287</v>
      </c>
      <c r="F26" s="1" t="s">
        <v>9</v>
      </c>
      <c r="G26" s="1" t="s">
        <v>9</v>
      </c>
      <c r="H26" s="1" t="s">
        <v>9</v>
      </c>
      <c r="I26" s="1" t="s">
        <v>9</v>
      </c>
      <c r="J26" s="1" t="s">
        <v>9</v>
      </c>
      <c r="K26" s="1" t="s">
        <v>9</v>
      </c>
      <c r="L26" s="36"/>
    </row>
    <row r="27" spans="4:33" x14ac:dyDescent="0.25">
      <c r="D27" s="85"/>
      <c r="E27" s="42" t="s">
        <v>314</v>
      </c>
      <c r="F27" s="1" t="s">
        <v>9</v>
      </c>
      <c r="G27" s="1" t="s">
        <v>9</v>
      </c>
      <c r="H27" s="1" t="s">
        <v>9</v>
      </c>
      <c r="I27" s="1" t="s">
        <v>9</v>
      </c>
      <c r="J27" s="1" t="s">
        <v>9</v>
      </c>
      <c r="K27" s="1" t="s">
        <v>9</v>
      </c>
      <c r="L27" s="33"/>
    </row>
    <row r="28" spans="4:33" x14ac:dyDescent="0.25">
      <c r="D28" s="85"/>
      <c r="E28" s="42" t="s">
        <v>296</v>
      </c>
      <c r="F28" s="1" t="s">
        <v>9</v>
      </c>
      <c r="G28" s="1" t="s">
        <v>9</v>
      </c>
      <c r="H28" s="1" t="s">
        <v>9</v>
      </c>
      <c r="I28" s="1" t="s">
        <v>9</v>
      </c>
      <c r="J28" s="1" t="s">
        <v>9</v>
      </c>
      <c r="K28" s="1" t="s">
        <v>9</v>
      </c>
      <c r="L28" s="33"/>
    </row>
    <row r="29" spans="4:33" x14ac:dyDescent="0.25">
      <c r="D29" s="85"/>
      <c r="E29" s="42" t="s">
        <v>297</v>
      </c>
      <c r="F29" s="1" t="s">
        <v>9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33"/>
    </row>
    <row r="30" spans="4:33" x14ac:dyDescent="0.25">
      <c r="D30" s="85"/>
      <c r="E30" s="42" t="s">
        <v>298</v>
      </c>
      <c r="F30" s="1" t="s">
        <v>9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33"/>
    </row>
    <row r="31" spans="4:33" x14ac:dyDescent="0.25">
      <c r="D31" s="85"/>
      <c r="E31" s="42" t="s">
        <v>288</v>
      </c>
      <c r="F31" s="1" t="s">
        <v>9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33"/>
    </row>
    <row r="32" spans="4:33" x14ac:dyDescent="0.25">
      <c r="D32" s="85"/>
      <c r="E32" s="42" t="s">
        <v>289</v>
      </c>
      <c r="F32" s="1" t="s">
        <v>9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33"/>
    </row>
    <row r="33" spans="4:12" x14ac:dyDescent="0.25">
      <c r="D33" s="85"/>
      <c r="E33" s="42" t="s">
        <v>295</v>
      </c>
      <c r="F33" s="1" t="s">
        <v>9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9</v>
      </c>
      <c r="L33" s="33"/>
    </row>
    <row r="34" spans="4:12" x14ac:dyDescent="0.25">
      <c r="D34" s="85"/>
      <c r="E34" s="42" t="s">
        <v>290</v>
      </c>
      <c r="F34" s="1" t="s">
        <v>9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9</v>
      </c>
      <c r="L34" s="33"/>
    </row>
    <row r="35" spans="4:12" x14ac:dyDescent="0.25">
      <c r="D35" s="85" t="s">
        <v>4</v>
      </c>
      <c r="E35" s="42" t="s">
        <v>291</v>
      </c>
      <c r="F35" s="79" t="s">
        <v>9</v>
      </c>
      <c r="G35" s="1" t="s">
        <v>9</v>
      </c>
      <c r="H35" s="78" t="str">
        <f t="shared" ref="H35:H42" si="0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1" t="s">
        <v>9</v>
      </c>
      <c r="K35" s="78" t="str">
        <f t="shared" ref="K35:K42" si="1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85"/>
      <c r="E36" s="42" t="s">
        <v>292</v>
      </c>
      <c r="F36" s="1" t="s">
        <v>9</v>
      </c>
      <c r="G36" s="1" t="s">
        <v>9</v>
      </c>
      <c r="H36" s="78" t="str">
        <f t="shared" si="0"/>
        <v>/VectoCustomerInformation/Data/Results/Result/Total/ElectricEnergy/EnergyConsumption[@unit='kWh/t-km']</v>
      </c>
      <c r="I36" s="1" t="s">
        <v>9</v>
      </c>
      <c r="J36" s="1" t="s">
        <v>9</v>
      </c>
      <c r="K36" s="78" t="str">
        <f t="shared" si="1"/>
        <v>/VectoCustomerInformation/Data/Results/Result/Total/ElectricEnergy/EnergyConsumption[@unit='kWh/t-km']</v>
      </c>
      <c r="L36" s="38"/>
    </row>
    <row r="37" spans="4:12" x14ac:dyDescent="0.25">
      <c r="D37" s="85"/>
      <c r="E37" s="42" t="s">
        <v>299</v>
      </c>
      <c r="F37" s="1" t="s">
        <v>9</v>
      </c>
      <c r="G37" s="1" t="s">
        <v>9</v>
      </c>
      <c r="H37" s="78" t="str">
        <f t="shared" si="0"/>
        <v>/VectoCustomerInformation/Data/Results/Result/Total/ElectricEnergy/EnergyConsumption[@unit='kWh/p-km']</v>
      </c>
      <c r="I37" s="1" t="s">
        <v>9</v>
      </c>
      <c r="J37" s="1" t="s">
        <v>9</v>
      </c>
      <c r="K37" s="78" t="str">
        <f t="shared" si="1"/>
        <v>/VectoCustomerInformation/Data/Results/Result/Total/ElectricEnergy/EnergyConsumption[@unit='kWh/p-km']</v>
      </c>
      <c r="L37" s="38"/>
    </row>
    <row r="38" spans="4:12" x14ac:dyDescent="0.25">
      <c r="D38" s="85"/>
      <c r="E38" s="42" t="s">
        <v>293</v>
      </c>
      <c r="F38" s="1" t="s">
        <v>9</v>
      </c>
      <c r="G38" s="1" t="s">
        <v>9</v>
      </c>
      <c r="H38" s="78" t="str">
        <f t="shared" si="0"/>
        <v>/VectoCustomerInformation/Data/Results/Result/Total/ElectricEnergy/EnergyConsumption[@unit='kWh/m³-km']</v>
      </c>
      <c r="I38" s="1" t="s">
        <v>9</v>
      </c>
      <c r="J38" s="1" t="s">
        <v>9</v>
      </c>
      <c r="K38" s="78" t="str">
        <f t="shared" si="1"/>
        <v>/VectoCustomerInformation/Data/Results/Result/Total/ElectricEnergy/EnergyConsumption[@unit='kWh/m³-km']</v>
      </c>
      <c r="L38" s="38"/>
    </row>
    <row r="39" spans="4:12" x14ac:dyDescent="0.25">
      <c r="D39" s="85"/>
      <c r="E39" s="42" t="s">
        <v>288</v>
      </c>
      <c r="F39" s="1" t="s">
        <v>9</v>
      </c>
      <c r="G39" s="1" t="s">
        <v>9</v>
      </c>
      <c r="H39" s="78" t="str">
        <f t="shared" si="0"/>
        <v>/VectoCustomerInformation/Data/Results/Result/Total/ElectricEnergy/EnergyConsumption[@unit='MJ/km']</v>
      </c>
      <c r="I39" s="1" t="s">
        <v>9</v>
      </c>
      <c r="J39" s="1" t="s">
        <v>9</v>
      </c>
      <c r="K39" s="78" t="str">
        <f t="shared" si="1"/>
        <v>/VectoCustomerInformation/Data/Results/Result/Total/ElectricEnergy/EnergyConsumption[@unit='MJ/km']</v>
      </c>
      <c r="L39" s="38"/>
    </row>
    <row r="40" spans="4:12" x14ac:dyDescent="0.25">
      <c r="D40" s="85"/>
      <c r="E40" s="42" t="s">
        <v>289</v>
      </c>
      <c r="F40" s="1" t="s">
        <v>9</v>
      </c>
      <c r="G40" s="1" t="s">
        <v>9</v>
      </c>
      <c r="H40" s="78" t="str">
        <f t="shared" si="0"/>
        <v>/VectoCustomerInformation/Data/Results/Result/Total/ElectricEnergy/EnergyConsumption[@unit='MJ/t-km']</v>
      </c>
      <c r="I40" s="1" t="s">
        <v>9</v>
      </c>
      <c r="J40" s="1" t="s">
        <v>9</v>
      </c>
      <c r="K40" s="78" t="str">
        <f t="shared" si="1"/>
        <v>/VectoCustomerInformation/Data/Results/Result/Total/ElectricEnergy/EnergyConsumption[@unit='MJ/t-km']</v>
      </c>
      <c r="L40" s="38"/>
    </row>
    <row r="41" spans="4:12" x14ac:dyDescent="0.25">
      <c r="D41" s="85"/>
      <c r="E41" s="42" t="s">
        <v>295</v>
      </c>
      <c r="F41" s="1" t="s">
        <v>9</v>
      </c>
      <c r="G41" s="1" t="s">
        <v>9</v>
      </c>
      <c r="H41" s="78" t="str">
        <f t="shared" si="0"/>
        <v>/VectoCustomerInformation/Data/Results/Result/Total/ElectricEnergy/EnergyConsumption[@unit='MJ/p-km']</v>
      </c>
      <c r="I41" s="1" t="s">
        <v>9</v>
      </c>
      <c r="J41" s="1" t="s">
        <v>9</v>
      </c>
      <c r="K41" s="78" t="str">
        <f t="shared" si="1"/>
        <v>/VectoCustomerInformation/Data/Results/Result/Total/ElectricEnergy/EnergyConsumption[@unit='MJ/p-km']</v>
      </c>
    </row>
    <row r="42" spans="4:12" x14ac:dyDescent="0.25">
      <c r="D42" s="85"/>
      <c r="E42" s="42" t="s">
        <v>290</v>
      </c>
      <c r="F42" s="1" t="s">
        <v>9</v>
      </c>
      <c r="G42" s="1" t="s">
        <v>9</v>
      </c>
      <c r="H42" s="78" t="str">
        <f t="shared" si="0"/>
        <v>/VectoCustomerInformation/Data/Results/Result/Total/ElectricEnergy/EnergyConsumption[@unit='MJ/m³-km']</v>
      </c>
      <c r="I42" s="1" t="s">
        <v>9</v>
      </c>
      <c r="J42" s="1" t="s">
        <v>9</v>
      </c>
      <c r="K42" s="78" t="str">
        <f t="shared" si="1"/>
        <v>/VectoCustomerInformation/Data/Results/Result/Total/ElectricEnergy/EnergyConsumption[@unit='MJ/m³-km']</v>
      </c>
    </row>
    <row r="43" spans="4:12" x14ac:dyDescent="0.25">
      <c r="D43" s="85" t="s">
        <v>3</v>
      </c>
      <c r="E43" s="42" t="s">
        <v>285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</row>
    <row r="44" spans="4:12" x14ac:dyDescent="0.25">
      <c r="D44" s="85"/>
      <c r="E44" s="42" t="s">
        <v>286</v>
      </c>
      <c r="F44" s="1" t="s">
        <v>9</v>
      </c>
      <c r="G44" s="1" t="s">
        <v>9</v>
      </c>
      <c r="H44" s="1" t="s">
        <v>9</v>
      </c>
      <c r="I44" s="1" t="s">
        <v>9</v>
      </c>
      <c r="J44" s="1" t="s">
        <v>9</v>
      </c>
      <c r="K44" s="1" t="s">
        <v>9</v>
      </c>
    </row>
    <row r="45" spans="4:12" x14ac:dyDescent="0.25">
      <c r="D45" s="85"/>
      <c r="E45" s="42" t="s">
        <v>294</v>
      </c>
      <c r="F45" s="1" t="s">
        <v>9</v>
      </c>
      <c r="G45" s="1" t="s">
        <v>9</v>
      </c>
      <c r="H45" s="1" t="s">
        <v>9</v>
      </c>
      <c r="I45" s="1" t="s">
        <v>9</v>
      </c>
      <c r="J45" s="1" t="s">
        <v>9</v>
      </c>
      <c r="K45" s="1" t="s">
        <v>9</v>
      </c>
    </row>
    <row r="46" spans="4:12" x14ac:dyDescent="0.25">
      <c r="D46" s="85"/>
      <c r="E46" s="42" t="s">
        <v>287</v>
      </c>
      <c r="F46" s="1" t="s">
        <v>9</v>
      </c>
      <c r="G46" s="1" t="s">
        <v>9</v>
      </c>
      <c r="H46" s="1" t="s">
        <v>9</v>
      </c>
      <c r="I46" s="1" t="s">
        <v>9</v>
      </c>
      <c r="J46" s="1" t="s">
        <v>9</v>
      </c>
      <c r="K46" s="1" t="s">
        <v>9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78" t="s">
        <v>723</v>
      </c>
      <c r="I47" s="1" t="s">
        <v>9</v>
      </c>
      <c r="J47" s="1" t="s">
        <v>9</v>
      </c>
      <c r="K47" s="78" t="s">
        <v>723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78" t="s">
        <v>724</v>
      </c>
      <c r="I48" s="1" t="s">
        <v>9</v>
      </c>
      <c r="J48" s="1" t="s">
        <v>9</v>
      </c>
      <c r="K48" s="78" t="s">
        <v>724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8" t="s">
        <v>725</v>
      </c>
      <c r="I49" s="1" t="s">
        <v>9</v>
      </c>
      <c r="J49" s="1" t="s">
        <v>9</v>
      </c>
      <c r="K49" s="78" t="s">
        <v>725</v>
      </c>
    </row>
    <row r="50" spans="2:11" x14ac:dyDescent="0.25">
      <c r="D50" s="48" t="s">
        <v>325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85" t="s">
        <v>312</v>
      </c>
      <c r="E51" s="43" t="s">
        <v>285</v>
      </c>
      <c r="F51" s="1" t="s">
        <v>9</v>
      </c>
      <c r="G51" s="1" t="s">
        <v>9</v>
      </c>
      <c r="H51" s="78" t="str">
        <f t="shared" ref="H51:H56" si="2">CONCATENATE("/VectoCustomerInformation/Data/Results/Result/Total/FC_ZEV_AuxHeater/FuelConsumption[@unit='",E51,"']")</f>
        <v>/VectoCustomerInformation/Data/Results/Result/Total/FC_ZEV_AuxHeater/FuelConsumption[@unit='g/km']</v>
      </c>
      <c r="I51" s="1" t="s">
        <v>9</v>
      </c>
      <c r="J51" s="1" t="s">
        <v>9</v>
      </c>
      <c r="K51" s="78" t="str">
        <f t="shared" ref="K51:K56" si="3">CONCATENATE("/VectoCustomerInformation/Data/Results/Result/Total/FC_ZEV_AuxHeater/FuelConsumption[@unit='",E51,"']")</f>
        <v>/VectoCustomerInformation/Data/Results/Result/Total/FC_ZEV_AuxHeater/FuelConsumption[@unit='g/km']</v>
      </c>
    </row>
    <row r="52" spans="2:11" x14ac:dyDescent="0.25">
      <c r="D52" s="85"/>
      <c r="E52" s="43" t="s">
        <v>294</v>
      </c>
      <c r="F52" s="1" t="s">
        <v>9</v>
      </c>
      <c r="G52" s="1" t="s">
        <v>9</v>
      </c>
      <c r="H52" s="78" t="str">
        <f t="shared" si="2"/>
        <v>/VectoCustomerInformation/Data/Results/Result/Total/FC_ZEV_AuxHeater/FuelConsumption[@unit='g/p-km']</v>
      </c>
      <c r="I52" s="1" t="s">
        <v>9</v>
      </c>
      <c r="J52" s="1" t="s">
        <v>9</v>
      </c>
      <c r="K52" s="78" t="str">
        <f t="shared" si="3"/>
        <v>/VectoCustomerInformation/Data/Results/Result/Total/FC_ZEV_AuxHeater/FuelConsumption[@unit='g/p-km']</v>
      </c>
    </row>
    <row r="53" spans="2:11" x14ac:dyDescent="0.25">
      <c r="D53" s="85"/>
      <c r="E53" s="43" t="s">
        <v>314</v>
      </c>
      <c r="F53" s="1" t="s">
        <v>9</v>
      </c>
      <c r="G53" s="1" t="s">
        <v>9</v>
      </c>
      <c r="H53" s="78" t="str">
        <f t="shared" si="2"/>
        <v>/VectoCustomerInformation/Data/Results/Result/Total/FC_ZEV_AuxHeater/FuelConsumption[@unit='l/100km']</v>
      </c>
      <c r="I53" s="1" t="s">
        <v>9</v>
      </c>
      <c r="J53" s="1" t="s">
        <v>9</v>
      </c>
      <c r="K53" s="78" t="str">
        <f t="shared" si="3"/>
        <v>/VectoCustomerInformation/Data/Results/Result/Total/FC_ZEV_AuxHeater/FuelConsumption[@unit='l/100km']</v>
      </c>
    </row>
    <row r="54" spans="2:11" x14ac:dyDescent="0.25">
      <c r="D54" s="85"/>
      <c r="E54" s="43" t="s">
        <v>297</v>
      </c>
      <c r="F54" s="1" t="s">
        <v>9</v>
      </c>
      <c r="G54" s="1" t="s">
        <v>9</v>
      </c>
      <c r="H54" s="78" t="str">
        <f t="shared" si="2"/>
        <v>/VectoCustomerInformation/Data/Results/Result/Total/FC_ZEV_AuxHeater/FuelConsumption[@unit='l/p-km']</v>
      </c>
      <c r="I54" s="1" t="s">
        <v>9</v>
      </c>
      <c r="J54" s="1" t="s">
        <v>9</v>
      </c>
      <c r="K54" s="78" t="str">
        <f t="shared" si="3"/>
        <v>/VectoCustomerInformation/Data/Results/Result/Total/FC_ZEV_AuxHeater/FuelConsumption[@unit='l/p-km']</v>
      </c>
    </row>
    <row r="55" spans="2:11" x14ac:dyDescent="0.25">
      <c r="D55" s="85"/>
      <c r="E55" s="43" t="s">
        <v>288</v>
      </c>
      <c r="F55" s="1" t="s">
        <v>9</v>
      </c>
      <c r="G55" s="1" t="s">
        <v>9</v>
      </c>
      <c r="H55" s="78" t="str">
        <f t="shared" si="2"/>
        <v>/VectoCustomerInformation/Data/Results/Result/Total/FC_ZEV_AuxHeater/FuelConsumption[@unit='MJ/km']</v>
      </c>
      <c r="I55" s="1" t="s">
        <v>9</v>
      </c>
      <c r="J55" s="1" t="s">
        <v>9</v>
      </c>
      <c r="K55" s="78" t="str">
        <f t="shared" si="3"/>
        <v>/VectoCustomerInformation/Data/Results/Result/Total/FC_ZEV_AuxHeater/FuelConsumption[@unit='MJ/km']</v>
      </c>
    </row>
    <row r="56" spans="2:11" x14ac:dyDescent="0.25">
      <c r="D56" s="85"/>
      <c r="E56" s="43" t="s">
        <v>295</v>
      </c>
      <c r="F56" s="1" t="s">
        <v>9</v>
      </c>
      <c r="G56" s="1" t="s">
        <v>9</v>
      </c>
      <c r="H56" s="78" t="str">
        <f t="shared" si="2"/>
        <v>/VectoCustomerInformation/Data/Results/Result/Total/FC_ZEV_AuxHeater/FuelConsumption[@unit='MJ/p-km']</v>
      </c>
      <c r="I56" s="1" t="s">
        <v>9</v>
      </c>
      <c r="J56" s="1" t="s">
        <v>9</v>
      </c>
      <c r="K56" s="78" t="str">
        <f t="shared" si="3"/>
        <v>/VectoCustomerInformation/Data/Results/Result/Total/FC_ZEV_AuxHeater/FuelConsumption[@unit='MJ/p-km']</v>
      </c>
    </row>
    <row r="57" spans="2:11" x14ac:dyDescent="0.25">
      <c r="D57" s="85" t="s">
        <v>313</v>
      </c>
      <c r="E57" s="43" t="s">
        <v>285</v>
      </c>
      <c r="F57" s="1" t="s">
        <v>9</v>
      </c>
      <c r="G57" s="1" t="s">
        <v>9</v>
      </c>
      <c r="H57" s="78" t="str">
        <f>CONCATENATE("/VectoCustomerInformation/Data/Results/Result/Total/CO2_ZEV_AuxHeater/CO2[@unit='",E57,"']")</f>
        <v>/VectoCustomerInformation/Data/Results/Result/Total/CO2_ZEV_AuxHeater/CO2[@unit='g/km']</v>
      </c>
      <c r="I57" s="1" t="s">
        <v>9</v>
      </c>
      <c r="J57" s="1" t="s">
        <v>9</v>
      </c>
      <c r="K57" s="78" t="str">
        <f>CONCATENATE("/VectoCustomerInformation/Data/Results/Result/Total/CO2_ZEV_AuxHeater/CO2[@unit='",E57,"']")</f>
        <v>/VectoCustomerInformation/Data/Results/Result/Total/CO2_ZEV_AuxHeater/CO2[@unit='g/km']</v>
      </c>
    </row>
    <row r="58" spans="2:11" x14ac:dyDescent="0.25">
      <c r="D58" s="85"/>
      <c r="E58" s="43" t="s">
        <v>294</v>
      </c>
      <c r="F58" s="1" t="s">
        <v>9</v>
      </c>
      <c r="G58" s="1" t="s">
        <v>9</v>
      </c>
      <c r="H58" s="78" t="str">
        <f>CONCATENATE("/VectoCustomerInformation/Data/Results/Result/Total/CO2_ZEV_AuxHeater/CO2[@unit='",E58,"']")</f>
        <v>/VectoCustomerInformation/Data/Results/Result/Total/CO2_ZEV_AuxHeater/CO2[@unit='g/p-km']</v>
      </c>
      <c r="I58" s="1" t="s">
        <v>9</v>
      </c>
      <c r="J58" s="1" t="s">
        <v>9</v>
      </c>
      <c r="K58" s="78" t="str">
        <f>CONCATENATE("/VectoCustomerInformation/Data/Results/Result/Total/CO2_ZEV_AuxHeater/CO2[@unit='",E58,"']")</f>
        <v>/VectoCustomerInformation/Data/Results/Result/Total/CO2_ZEV_AuxHeater/CO2[@unit='g/p-km']</v>
      </c>
    </row>
    <row r="61" spans="2:11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273</v>
      </c>
      <c r="D63" s="57" t="s">
        <v>276</v>
      </c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7" t="s">
        <v>303</v>
      </c>
      <c r="E65" s="42" t="s">
        <v>304</v>
      </c>
      <c r="F65" s="78" t="s">
        <v>727</v>
      </c>
    </row>
    <row r="66" spans="4:6" x14ac:dyDescent="0.25">
      <c r="D66" s="77" t="s">
        <v>305</v>
      </c>
      <c r="E66" s="42" t="s">
        <v>283</v>
      </c>
      <c r="F66" s="78" t="s">
        <v>728</v>
      </c>
    </row>
    <row r="67" spans="4:6" x14ac:dyDescent="0.25">
      <c r="D67" s="85" t="s">
        <v>307</v>
      </c>
      <c r="E67" s="42" t="s">
        <v>306</v>
      </c>
      <c r="F67" s="1" t="s">
        <v>9</v>
      </c>
    </row>
    <row r="68" spans="4:6" x14ac:dyDescent="0.25">
      <c r="D68" s="85"/>
      <c r="E68" s="42" t="s">
        <v>308</v>
      </c>
      <c r="F68" s="1" t="s">
        <v>9</v>
      </c>
    </row>
    <row r="69" spans="4:6" x14ac:dyDescent="0.25">
      <c r="D69" s="85" t="s">
        <v>309</v>
      </c>
      <c r="E69" s="42" t="s">
        <v>285</v>
      </c>
      <c r="F69" s="1" t="s">
        <v>9</v>
      </c>
    </row>
    <row r="70" spans="4:6" x14ac:dyDescent="0.25">
      <c r="D70" s="85"/>
      <c r="E70" s="42" t="s">
        <v>287</v>
      </c>
      <c r="F70" s="1" t="s">
        <v>9</v>
      </c>
    </row>
    <row r="71" spans="4:6" x14ac:dyDescent="0.25">
      <c r="D71" s="85" t="s">
        <v>281</v>
      </c>
      <c r="E71" s="42" t="s">
        <v>285</v>
      </c>
      <c r="F71" s="1" t="s">
        <v>9</v>
      </c>
    </row>
    <row r="72" spans="4:6" x14ac:dyDescent="0.25">
      <c r="D72" s="85"/>
      <c r="E72" s="42" t="s">
        <v>286</v>
      </c>
      <c r="F72" s="1" t="s">
        <v>9</v>
      </c>
    </row>
    <row r="73" spans="4:6" x14ac:dyDescent="0.25">
      <c r="D73" s="85"/>
      <c r="E73" s="42" t="s">
        <v>294</v>
      </c>
      <c r="F73" s="1" t="s">
        <v>9</v>
      </c>
    </row>
    <row r="74" spans="4:6" x14ac:dyDescent="0.25">
      <c r="D74" s="85"/>
      <c r="E74" s="42" t="s">
        <v>287</v>
      </c>
      <c r="F74" s="1" t="s">
        <v>9</v>
      </c>
    </row>
    <row r="75" spans="4:6" x14ac:dyDescent="0.25">
      <c r="D75" s="85"/>
      <c r="E75" s="42" t="s">
        <v>314</v>
      </c>
      <c r="F75" s="1" t="s">
        <v>9</v>
      </c>
    </row>
    <row r="76" spans="4:6" x14ac:dyDescent="0.25">
      <c r="D76" s="85"/>
      <c r="E76" s="42" t="s">
        <v>296</v>
      </c>
      <c r="F76" s="1" t="s">
        <v>9</v>
      </c>
    </row>
    <row r="77" spans="4:6" x14ac:dyDescent="0.25">
      <c r="D77" s="85"/>
      <c r="E77" s="42" t="s">
        <v>297</v>
      </c>
      <c r="F77" s="1" t="s">
        <v>9</v>
      </c>
    </row>
    <row r="78" spans="4:6" x14ac:dyDescent="0.25">
      <c r="D78" s="85"/>
      <c r="E78" s="42" t="s">
        <v>298</v>
      </c>
      <c r="F78" s="1" t="s">
        <v>9</v>
      </c>
    </row>
    <row r="79" spans="4:6" x14ac:dyDescent="0.25">
      <c r="D79" s="85"/>
      <c r="E79" s="42" t="s">
        <v>288</v>
      </c>
      <c r="F79" s="1" t="s">
        <v>9</v>
      </c>
    </row>
    <row r="80" spans="4:6" x14ac:dyDescent="0.25">
      <c r="D80" s="85"/>
      <c r="E80" s="42" t="s">
        <v>289</v>
      </c>
      <c r="F80" s="1" t="s">
        <v>9</v>
      </c>
    </row>
    <row r="81" spans="4:6" x14ac:dyDescent="0.25">
      <c r="D81" s="85"/>
      <c r="E81" s="42" t="s">
        <v>295</v>
      </c>
      <c r="F81" s="1" t="s">
        <v>9</v>
      </c>
    </row>
    <row r="82" spans="4:6" x14ac:dyDescent="0.25">
      <c r="D82" s="85"/>
      <c r="E82" s="42" t="s">
        <v>290</v>
      </c>
      <c r="F82" s="1" t="s">
        <v>9</v>
      </c>
    </row>
    <row r="83" spans="4:6" x14ac:dyDescent="0.25">
      <c r="D83" s="85" t="s">
        <v>310</v>
      </c>
      <c r="E83" s="42" t="s">
        <v>292</v>
      </c>
      <c r="F83" s="78" t="str">
        <f t="shared" ref="F83:F90" si="4">CONCATENATE("/VectoCustomerInformation/Data/Results/Summary/ElectricEnergy/EnergyConsumption[@unit='",E83,"']")</f>
        <v>/VectoCustomerInformation/Data/Results/Summary/ElectricEnergy/EnergyConsumption[@unit='kWh/t-km']</v>
      </c>
    </row>
    <row r="84" spans="4:6" x14ac:dyDescent="0.25">
      <c r="D84" s="85"/>
      <c r="E84" s="42" t="s">
        <v>299</v>
      </c>
      <c r="F84" s="78" t="str">
        <f t="shared" si="4"/>
        <v>/VectoCustomerInformation/Data/Results/Summary/ElectricEnergy/EnergyConsumption[@unit='kWh/p-km']</v>
      </c>
    </row>
    <row r="85" spans="4:6" x14ac:dyDescent="0.25">
      <c r="D85" s="85" t="s">
        <v>311</v>
      </c>
      <c r="E85" s="42" t="s">
        <v>291</v>
      </c>
      <c r="F85" s="78" t="str">
        <f t="shared" si="4"/>
        <v>/VectoCustomerInformation/Data/Results/Summary/ElectricEnergy/EnergyConsumption[@unit='kWh/km']</v>
      </c>
    </row>
    <row r="86" spans="4:6" x14ac:dyDescent="0.25">
      <c r="D86" s="85"/>
      <c r="E86" s="42" t="s">
        <v>293</v>
      </c>
      <c r="F86" s="78" t="str">
        <f t="shared" si="4"/>
        <v>/VectoCustomerInformation/Data/Results/Summary/ElectricEnergy/EnergyConsumption[@unit='kWh/m³-km']</v>
      </c>
    </row>
    <row r="87" spans="4:6" x14ac:dyDescent="0.25">
      <c r="D87" s="85"/>
      <c r="E87" s="42" t="s">
        <v>289</v>
      </c>
      <c r="F87" s="78" t="str">
        <f t="shared" si="4"/>
        <v>/VectoCustomerInformation/Data/Results/Summary/ElectricEnergy/EnergyConsumption[@unit='MJ/t-km']</v>
      </c>
    </row>
    <row r="88" spans="4:6" x14ac:dyDescent="0.25">
      <c r="D88" s="85"/>
      <c r="E88" s="42" t="s">
        <v>295</v>
      </c>
      <c r="F88" s="78" t="str">
        <f t="shared" si="4"/>
        <v>/VectoCustomerInformation/Data/Results/Summary/ElectricEnergy/EnergyConsumption[@unit='MJ/p-km']</v>
      </c>
    </row>
    <row r="89" spans="4:6" x14ac:dyDescent="0.25">
      <c r="D89" s="85"/>
      <c r="E89" s="42" t="s">
        <v>288</v>
      </c>
      <c r="F89" s="78" t="str">
        <f t="shared" si="4"/>
        <v>/VectoCustomerInformation/Data/Results/Summary/ElectricEnergy/EnergyConsumption[@unit='MJ/km']</v>
      </c>
    </row>
    <row r="90" spans="4:6" x14ac:dyDescent="0.25">
      <c r="D90" s="85"/>
      <c r="E90" s="42" t="s">
        <v>290</v>
      </c>
      <c r="F90" s="78" t="str">
        <f t="shared" si="4"/>
        <v>/VectoCustomerInformation/Data/Results/Summary/ElectricEnergy/EnergyConsumption[@unit='MJ/m³-km']</v>
      </c>
    </row>
    <row r="91" spans="4:6" x14ac:dyDescent="0.25">
      <c r="D91" s="77" t="s">
        <v>300</v>
      </c>
      <c r="E91" s="43" t="s">
        <v>6</v>
      </c>
      <c r="F91" s="78" t="s">
        <v>729</v>
      </c>
    </row>
    <row r="92" spans="4:6" x14ac:dyDescent="0.25">
      <c r="D92" s="77" t="s">
        <v>301</v>
      </c>
      <c r="E92" s="43" t="s">
        <v>6</v>
      </c>
      <c r="F92" s="78" t="s">
        <v>730</v>
      </c>
    </row>
    <row r="93" spans="4:6" x14ac:dyDescent="0.25">
      <c r="D93" s="48" t="s">
        <v>5</v>
      </c>
      <c r="E93" s="43" t="s">
        <v>6</v>
      </c>
      <c r="F93" s="78" t="s">
        <v>731</v>
      </c>
    </row>
    <row r="94" spans="4:6" x14ac:dyDescent="0.25">
      <c r="D94" s="85" t="s">
        <v>312</v>
      </c>
      <c r="E94" s="43" t="s">
        <v>285</v>
      </c>
      <c r="F94" s="78" t="str">
        <f t="shared" ref="F94:F99" si="5">CONCATENATE("/VectoCustomerInformation/Data/Results/Summary/FC_ZEV_AuxHeater/FuelConsumption[@unit='",E94,"']")</f>
        <v>/VectoCustomerInformation/Data/Results/Summary/FC_ZEV_AuxHeater/FuelConsumption[@unit='g/km']</v>
      </c>
    </row>
    <row r="95" spans="4:6" x14ac:dyDescent="0.25">
      <c r="D95" s="85"/>
      <c r="E95" s="43" t="s">
        <v>294</v>
      </c>
      <c r="F95" s="78" t="str">
        <f t="shared" si="5"/>
        <v>/VectoCustomerInformation/Data/Results/Summary/FC_ZEV_AuxHeater/FuelConsumption[@unit='g/p-km']</v>
      </c>
    </row>
    <row r="96" spans="4:6" x14ac:dyDescent="0.25">
      <c r="D96" s="85"/>
      <c r="E96" s="43" t="s">
        <v>314</v>
      </c>
      <c r="F96" s="78" t="str">
        <f t="shared" si="5"/>
        <v>/VectoCustomerInformation/Data/Results/Summary/FC_ZEV_AuxHeater/FuelConsumption[@unit='l/100km']</v>
      </c>
    </row>
    <row r="97" spans="4:6" x14ac:dyDescent="0.25">
      <c r="D97" s="85"/>
      <c r="E97" s="43" t="s">
        <v>297</v>
      </c>
      <c r="F97" s="78" t="str">
        <f t="shared" si="5"/>
        <v>/VectoCustomerInformation/Data/Results/Summary/FC_ZEV_AuxHeater/FuelConsumption[@unit='l/p-km']</v>
      </c>
    </row>
    <row r="98" spans="4:6" x14ac:dyDescent="0.25">
      <c r="D98" s="85"/>
      <c r="E98" s="43" t="s">
        <v>288</v>
      </c>
      <c r="F98" s="78" t="str">
        <f t="shared" si="5"/>
        <v>/VectoCustomerInformation/Data/Results/Summary/FC_ZEV_AuxHeater/FuelConsumption[@unit='MJ/km']</v>
      </c>
    </row>
    <row r="99" spans="4:6" x14ac:dyDescent="0.25">
      <c r="D99" s="85"/>
      <c r="E99" s="43" t="s">
        <v>295</v>
      </c>
      <c r="F99" s="78" t="str">
        <f t="shared" si="5"/>
        <v>/VectoCustomerInformation/Data/Results/Summary/FC_ZEV_AuxHeater/FuelConsumption[@unit='MJ/p-km']</v>
      </c>
    </row>
    <row r="100" spans="4:6" x14ac:dyDescent="0.25">
      <c r="D100" s="85" t="s">
        <v>313</v>
      </c>
      <c r="E100" s="43" t="s">
        <v>285</v>
      </c>
      <c r="F100" s="78" t="str">
        <f>CONCATENATE("/VectoCustomerInformation/Data/Results/Summary/CO2_ZEV_AuxHeater/CO2[@unit='",E100,"']")</f>
        <v>/VectoCustomerInformation/Data/Results/Summary/CO2_ZEV_AuxHeater/CO2[@unit='g/km']</v>
      </c>
    </row>
    <row r="101" spans="4:6" x14ac:dyDescent="0.25">
      <c r="D101" s="85"/>
      <c r="E101" s="43" t="s">
        <v>294</v>
      </c>
      <c r="F101" s="78" t="str">
        <f>CONCATENATE("/VectoCustomerInformation/Data/Results/Summary/CO2_ZEV_AuxHeater/CO2[@unit='",E101,"']")</f>
        <v>/VectoCustomerInformation/Data/Results/Summary/CO2_ZEV_AuxHeater/CO2[@unit='g/p-km']</v>
      </c>
    </row>
  </sheetData>
  <mergeCells count="26">
    <mergeCell ref="D100:D101"/>
    <mergeCell ref="D85:D90"/>
    <mergeCell ref="D94:D99"/>
    <mergeCell ref="D71:D82"/>
    <mergeCell ref="D83:D84"/>
    <mergeCell ref="D67:D68"/>
    <mergeCell ref="D69:D70"/>
    <mergeCell ref="D51:D56"/>
    <mergeCell ref="D57:D58"/>
    <mergeCell ref="D35:D42"/>
    <mergeCell ref="D43:D46"/>
    <mergeCell ref="D21:E21"/>
    <mergeCell ref="D23:D34"/>
    <mergeCell ref="F19:H19"/>
    <mergeCell ref="I19:K19"/>
    <mergeCell ref="F20:H20"/>
    <mergeCell ref="I20:K20"/>
    <mergeCell ref="D15:E15"/>
    <mergeCell ref="F15:K15"/>
    <mergeCell ref="F17:H17"/>
    <mergeCell ref="I17:K17"/>
    <mergeCell ref="F18:H18"/>
    <mergeCell ref="I18:K18"/>
    <mergeCell ref="D16:D17"/>
    <mergeCell ref="F16:H16"/>
    <mergeCell ref="I16:K16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103"/>
  <sheetViews>
    <sheetView topLeftCell="A7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11" width="10.7109375" customWidth="1"/>
    <col min="12" max="12" width="2.7109375" customWidth="1"/>
    <col min="13" max="13" width="40.7109375" customWidth="1"/>
    <col min="14" max="20" width="10.7109375" customWidth="1"/>
    <col min="21" max="21" width="2.7109375" customWidth="1"/>
    <col min="22" max="22" width="40.7109375" customWidth="1"/>
    <col min="23" max="29" width="10.7109375" customWidth="1"/>
    <col min="30" max="30" width="2.7109375" customWidth="1"/>
  </cols>
  <sheetData>
    <row r="2" spans="2:29" s="55" customFormat="1" ht="15.75" x14ac:dyDescent="0.25">
      <c r="B2" s="54" t="s">
        <v>316</v>
      </c>
      <c r="C2" s="54"/>
    </row>
    <row r="3" spans="2:29" ht="15.75" x14ac:dyDescent="0.25">
      <c r="B3" s="49"/>
      <c r="C3" s="49"/>
    </row>
    <row r="4" spans="2:29" x14ac:dyDescent="0.25">
      <c r="C4" s="53" t="s">
        <v>11</v>
      </c>
      <c r="D4" t="s">
        <v>315</v>
      </c>
    </row>
    <row r="5" spans="2:29" x14ac:dyDescent="0.25">
      <c r="C5" s="3" t="s">
        <v>11</v>
      </c>
      <c r="D5" t="s">
        <v>319</v>
      </c>
    </row>
    <row r="6" spans="2:29" x14ac:dyDescent="0.25">
      <c r="C6" s="2" t="s">
        <v>272</v>
      </c>
      <c r="D6" t="s">
        <v>320</v>
      </c>
    </row>
    <row r="7" spans="2:29" x14ac:dyDescent="0.25">
      <c r="C7" s="44" t="s">
        <v>11</v>
      </c>
      <c r="D7" t="s">
        <v>321</v>
      </c>
    </row>
    <row r="8" spans="2:29" x14ac:dyDescent="0.25">
      <c r="C8" s="46" t="s">
        <v>11</v>
      </c>
      <c r="D8" t="s">
        <v>322</v>
      </c>
    </row>
    <row r="9" spans="2:29" x14ac:dyDescent="0.25">
      <c r="C9" s="1" t="s">
        <v>9</v>
      </c>
      <c r="D9" t="s">
        <v>323</v>
      </c>
    </row>
    <row r="11" spans="2:29" s="55" customFormat="1" ht="15.75" x14ac:dyDescent="0.25">
      <c r="B11" s="54" t="s">
        <v>327</v>
      </c>
      <c r="C11" s="54"/>
    </row>
    <row r="13" spans="2:29" ht="16.5" x14ac:dyDescent="0.3">
      <c r="C13" s="57" t="s">
        <v>273</v>
      </c>
      <c r="D13" s="58"/>
      <c r="E13" s="58"/>
      <c r="F13" s="58"/>
      <c r="G13" s="58"/>
      <c r="H13" s="58"/>
      <c r="I13" s="58"/>
      <c r="J13" s="58"/>
      <c r="K13" s="58"/>
      <c r="M13" s="57" t="s">
        <v>275</v>
      </c>
      <c r="N13" s="58"/>
      <c r="O13" s="58"/>
      <c r="P13" s="58"/>
      <c r="Q13" s="58"/>
      <c r="R13" s="58"/>
      <c r="S13" s="58"/>
      <c r="T13" s="58"/>
      <c r="V13" s="57" t="s">
        <v>276</v>
      </c>
      <c r="W13" s="58"/>
      <c r="X13" s="58"/>
      <c r="Y13" s="58"/>
      <c r="Z13" s="58"/>
      <c r="AA13" s="58"/>
      <c r="AB13" s="58"/>
      <c r="AC13" s="58"/>
    </row>
    <row r="14" spans="2:29" ht="16.5" x14ac:dyDescent="0.3">
      <c r="C14" s="57" t="s">
        <v>274</v>
      </c>
      <c r="D14" s="58"/>
      <c r="E14" s="58"/>
      <c r="F14" s="58"/>
      <c r="G14" s="58"/>
      <c r="H14" s="58"/>
      <c r="I14" s="58"/>
      <c r="J14" s="58"/>
      <c r="K14" s="58"/>
    </row>
    <row r="15" spans="2:29" ht="15.75" x14ac:dyDescent="0.25">
      <c r="C15" s="49"/>
    </row>
    <row r="16" spans="2:29" x14ac:dyDescent="0.25">
      <c r="D16" s="93" t="s">
        <v>0</v>
      </c>
      <c r="E16" s="93"/>
      <c r="F16" s="92" t="s">
        <v>11</v>
      </c>
      <c r="G16" s="92"/>
      <c r="H16" s="92"/>
      <c r="I16" s="92"/>
      <c r="J16" s="92"/>
      <c r="K16" s="92"/>
      <c r="M16" s="93" t="s">
        <v>0</v>
      </c>
      <c r="N16" s="93"/>
      <c r="O16" s="92" t="s">
        <v>11</v>
      </c>
      <c r="P16" s="92"/>
      <c r="Q16" s="92"/>
      <c r="R16" s="92"/>
      <c r="S16" s="92"/>
      <c r="T16" s="92"/>
      <c r="V16" s="93" t="s">
        <v>0</v>
      </c>
      <c r="W16" s="93"/>
      <c r="X16" s="92" t="s">
        <v>11</v>
      </c>
      <c r="Y16" s="92"/>
      <c r="Z16" s="92"/>
      <c r="AA16" s="92"/>
      <c r="AB16" s="92"/>
      <c r="AC16" s="92"/>
    </row>
    <row r="17" spans="4:29" x14ac:dyDescent="0.25">
      <c r="D17" s="87" t="s">
        <v>1</v>
      </c>
      <c r="E17" s="42" t="s">
        <v>283</v>
      </c>
      <c r="F17" s="89" t="s">
        <v>8</v>
      </c>
      <c r="G17" s="90"/>
      <c r="H17" s="91"/>
      <c r="I17" s="89" t="s">
        <v>302</v>
      </c>
      <c r="J17" s="90"/>
      <c r="K17" s="91"/>
      <c r="M17" s="87" t="s">
        <v>1</v>
      </c>
      <c r="N17" s="42" t="s">
        <v>283</v>
      </c>
      <c r="O17" s="89" t="s">
        <v>8</v>
      </c>
      <c r="P17" s="90"/>
      <c r="Q17" s="91"/>
      <c r="R17" s="89" t="s">
        <v>302</v>
      </c>
      <c r="S17" s="90"/>
      <c r="T17" s="91"/>
      <c r="V17" s="87" t="s">
        <v>1</v>
      </c>
      <c r="W17" s="42" t="s">
        <v>283</v>
      </c>
      <c r="X17" s="89" t="s">
        <v>8</v>
      </c>
      <c r="Y17" s="90"/>
      <c r="Z17" s="91"/>
      <c r="AA17" s="89" t="s">
        <v>302</v>
      </c>
      <c r="AB17" s="90"/>
      <c r="AC17" s="91"/>
    </row>
    <row r="18" spans="4:29" x14ac:dyDescent="0.25">
      <c r="D18" s="88"/>
      <c r="E18" s="42" t="s">
        <v>282</v>
      </c>
      <c r="F18" s="86" t="s">
        <v>11</v>
      </c>
      <c r="G18" s="86"/>
      <c r="H18" s="86"/>
      <c r="I18" s="86" t="s">
        <v>11</v>
      </c>
      <c r="J18" s="86"/>
      <c r="K18" s="86"/>
      <c r="L18" s="21"/>
      <c r="M18" s="88"/>
      <c r="N18" s="42" t="s">
        <v>282</v>
      </c>
      <c r="O18" s="86" t="s">
        <v>11</v>
      </c>
      <c r="P18" s="86"/>
      <c r="Q18" s="86"/>
      <c r="R18" s="86" t="s">
        <v>11</v>
      </c>
      <c r="S18" s="86"/>
      <c r="T18" s="86"/>
      <c r="V18" s="88"/>
      <c r="W18" s="42" t="s">
        <v>282</v>
      </c>
      <c r="X18" s="86" t="s">
        <v>11</v>
      </c>
      <c r="Y18" s="86"/>
      <c r="Z18" s="86"/>
      <c r="AA18" s="86" t="s">
        <v>11</v>
      </c>
      <c r="AB18" s="86"/>
      <c r="AC18" s="86"/>
    </row>
    <row r="19" spans="4:29" x14ac:dyDescent="0.25">
      <c r="D19" s="47" t="s">
        <v>277</v>
      </c>
      <c r="E19" s="42" t="s">
        <v>283</v>
      </c>
      <c r="F19" s="86" t="s">
        <v>11</v>
      </c>
      <c r="G19" s="86"/>
      <c r="H19" s="86"/>
      <c r="I19" s="86" t="s">
        <v>11</v>
      </c>
      <c r="J19" s="86"/>
      <c r="K19" s="86"/>
      <c r="L19" s="21"/>
      <c r="M19" s="47" t="s">
        <v>277</v>
      </c>
      <c r="N19" s="42" t="s">
        <v>283</v>
      </c>
      <c r="O19" s="86" t="s">
        <v>11</v>
      </c>
      <c r="P19" s="86"/>
      <c r="Q19" s="86"/>
      <c r="R19" s="86" t="s">
        <v>11</v>
      </c>
      <c r="S19" s="86"/>
      <c r="T19" s="86"/>
      <c r="V19" s="47" t="s">
        <v>277</v>
      </c>
      <c r="W19" s="42" t="s">
        <v>283</v>
      </c>
      <c r="X19" s="86" t="s">
        <v>11</v>
      </c>
      <c r="Y19" s="86"/>
      <c r="Z19" s="86"/>
      <c r="AA19" s="86" t="s">
        <v>11</v>
      </c>
      <c r="AB19" s="86"/>
      <c r="AC19" s="86"/>
    </row>
    <row r="20" spans="4:29" x14ac:dyDescent="0.25">
      <c r="D20" s="47" t="s">
        <v>278</v>
      </c>
      <c r="E20" s="42" t="s">
        <v>282</v>
      </c>
      <c r="F20" s="86" t="s">
        <v>11</v>
      </c>
      <c r="G20" s="86"/>
      <c r="H20" s="86"/>
      <c r="I20" s="86" t="s">
        <v>11</v>
      </c>
      <c r="J20" s="86"/>
      <c r="K20" s="86"/>
      <c r="L20" s="21"/>
      <c r="M20" s="47" t="s">
        <v>278</v>
      </c>
      <c r="N20" s="42" t="s">
        <v>282</v>
      </c>
      <c r="O20" s="86" t="s">
        <v>11</v>
      </c>
      <c r="P20" s="86"/>
      <c r="Q20" s="86"/>
      <c r="R20" s="86" t="s">
        <v>11</v>
      </c>
      <c r="S20" s="86"/>
      <c r="T20" s="86"/>
      <c r="V20" s="47" t="s">
        <v>278</v>
      </c>
      <c r="W20" s="42" t="s">
        <v>282</v>
      </c>
      <c r="X20" s="86" t="s">
        <v>11</v>
      </c>
      <c r="Y20" s="86"/>
      <c r="Z20" s="86"/>
      <c r="AA20" s="86" t="s">
        <v>11</v>
      </c>
      <c r="AB20" s="86"/>
      <c r="AC20" s="86"/>
    </row>
    <row r="21" spans="4:29" x14ac:dyDescent="0.25">
      <c r="D21" s="47" t="s">
        <v>279</v>
      </c>
      <c r="E21" s="42" t="s">
        <v>282</v>
      </c>
      <c r="F21" s="86" t="s">
        <v>11</v>
      </c>
      <c r="G21" s="86"/>
      <c r="H21" s="86"/>
      <c r="I21" s="86" t="s">
        <v>11</v>
      </c>
      <c r="J21" s="86"/>
      <c r="K21" s="86"/>
      <c r="L21" s="21"/>
      <c r="M21" s="47" t="s">
        <v>279</v>
      </c>
      <c r="N21" s="42" t="s">
        <v>282</v>
      </c>
      <c r="O21" s="86" t="s">
        <v>11</v>
      </c>
      <c r="P21" s="86"/>
      <c r="Q21" s="86"/>
      <c r="R21" s="86" t="s">
        <v>11</v>
      </c>
      <c r="S21" s="86"/>
      <c r="T21" s="86"/>
      <c r="V21" s="47" t="s">
        <v>279</v>
      </c>
      <c r="W21" s="42" t="s">
        <v>282</v>
      </c>
      <c r="X21" s="86" t="s">
        <v>11</v>
      </c>
      <c r="Y21" s="86"/>
      <c r="Z21" s="86"/>
      <c r="AA21" s="86" t="s">
        <v>11</v>
      </c>
      <c r="AB21" s="86"/>
      <c r="AC21" s="86"/>
    </row>
    <row r="22" spans="4:29" s="45" customFormat="1" ht="45" x14ac:dyDescent="0.25">
      <c r="D22" s="85" t="s">
        <v>2</v>
      </c>
      <c r="E22" s="85"/>
      <c r="F22" s="50" t="s">
        <v>317</v>
      </c>
      <c r="G22" s="51" t="s">
        <v>318</v>
      </c>
      <c r="H22" s="52" t="s">
        <v>10</v>
      </c>
      <c r="I22" s="50" t="s">
        <v>317</v>
      </c>
      <c r="J22" s="51" t="s">
        <v>318</v>
      </c>
      <c r="K22" s="52" t="s">
        <v>10</v>
      </c>
      <c r="L22" s="21"/>
      <c r="M22" s="85" t="s">
        <v>2</v>
      </c>
      <c r="N22" s="85"/>
      <c r="O22" s="50" t="s">
        <v>317</v>
      </c>
      <c r="P22" s="51" t="s">
        <v>318</v>
      </c>
      <c r="Q22" s="52" t="s">
        <v>10</v>
      </c>
      <c r="R22" s="50" t="s">
        <v>317</v>
      </c>
      <c r="S22" s="51" t="s">
        <v>318</v>
      </c>
      <c r="T22" s="52" t="s">
        <v>10</v>
      </c>
      <c r="V22" s="85" t="s">
        <v>2</v>
      </c>
      <c r="W22" s="85"/>
      <c r="X22" s="50" t="s">
        <v>317</v>
      </c>
      <c r="Y22" s="51" t="s">
        <v>318</v>
      </c>
      <c r="Z22" s="52" t="s">
        <v>10</v>
      </c>
      <c r="AA22" s="50" t="s">
        <v>317</v>
      </c>
      <c r="AB22" s="51" t="s">
        <v>318</v>
      </c>
      <c r="AC22" s="52" t="s">
        <v>10</v>
      </c>
    </row>
    <row r="23" spans="4:29" x14ac:dyDescent="0.25">
      <c r="D23" s="47" t="s">
        <v>280</v>
      </c>
      <c r="E23" s="42" t="s">
        <v>284</v>
      </c>
      <c r="F23" s="1" t="s">
        <v>9</v>
      </c>
      <c r="G23" s="2" t="s">
        <v>9</v>
      </c>
      <c r="H23" s="44" t="s">
        <v>11</v>
      </c>
      <c r="I23" s="1" t="s">
        <v>9</v>
      </c>
      <c r="J23" s="2" t="s">
        <v>9</v>
      </c>
      <c r="K23" s="44" t="s">
        <v>11</v>
      </c>
      <c r="L23" s="21"/>
      <c r="M23" s="47" t="s">
        <v>280</v>
      </c>
      <c r="N23" s="42" t="s">
        <v>284</v>
      </c>
      <c r="O23" s="3" t="s">
        <v>11</v>
      </c>
      <c r="P23" s="3" t="s">
        <v>11</v>
      </c>
      <c r="Q23" s="46" t="s">
        <v>11</v>
      </c>
      <c r="R23" s="3" t="s">
        <v>11</v>
      </c>
      <c r="S23" s="3" t="s">
        <v>11</v>
      </c>
      <c r="T23" s="46" t="s">
        <v>11</v>
      </c>
      <c r="V23" s="47" t="s">
        <v>280</v>
      </c>
      <c r="W23" s="42" t="s">
        <v>284</v>
      </c>
      <c r="X23" s="2" t="s">
        <v>272</v>
      </c>
      <c r="Y23" s="1" t="s">
        <v>9</v>
      </c>
      <c r="Z23" s="44" t="s">
        <v>11</v>
      </c>
      <c r="AA23" s="2" t="s">
        <v>272</v>
      </c>
      <c r="AB23" s="1" t="s">
        <v>9</v>
      </c>
      <c r="AC23" s="44" t="s">
        <v>11</v>
      </c>
    </row>
    <row r="24" spans="4:29" x14ac:dyDescent="0.25">
      <c r="D24" s="85" t="s">
        <v>281</v>
      </c>
      <c r="E24" s="42" t="s">
        <v>285</v>
      </c>
      <c r="F24" s="1" t="s">
        <v>9</v>
      </c>
      <c r="G24" s="2" t="s">
        <v>272</v>
      </c>
      <c r="H24" s="44" t="s">
        <v>11</v>
      </c>
      <c r="I24" s="1" t="s">
        <v>9</v>
      </c>
      <c r="J24" s="2" t="s">
        <v>272</v>
      </c>
      <c r="K24" s="44" t="s">
        <v>11</v>
      </c>
      <c r="L24" s="21"/>
      <c r="M24" s="85" t="s">
        <v>281</v>
      </c>
      <c r="N24" s="42" t="s">
        <v>285</v>
      </c>
      <c r="O24" s="3" t="s">
        <v>11</v>
      </c>
      <c r="P24" s="3" t="s">
        <v>11</v>
      </c>
      <c r="Q24" s="46" t="s">
        <v>11</v>
      </c>
      <c r="R24" s="3" t="s">
        <v>11</v>
      </c>
      <c r="S24" s="3" t="s">
        <v>11</v>
      </c>
      <c r="T24" s="46" t="s">
        <v>11</v>
      </c>
      <c r="V24" s="85" t="s">
        <v>281</v>
      </c>
      <c r="W24" s="42" t="s">
        <v>285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 t="s">
        <v>9</v>
      </c>
    </row>
    <row r="25" spans="4:29" x14ac:dyDescent="0.25">
      <c r="D25" s="85"/>
      <c r="E25" s="42" t="s">
        <v>286</v>
      </c>
      <c r="F25" s="1" t="s">
        <v>9</v>
      </c>
      <c r="G25" s="2" t="s">
        <v>272</v>
      </c>
      <c r="H25" s="44" t="s">
        <v>11</v>
      </c>
      <c r="I25" s="1" t="s">
        <v>9</v>
      </c>
      <c r="J25" s="2" t="s">
        <v>272</v>
      </c>
      <c r="K25" s="44" t="s">
        <v>11</v>
      </c>
      <c r="L25" s="21"/>
      <c r="M25" s="85"/>
      <c r="N25" s="42" t="s">
        <v>286</v>
      </c>
      <c r="O25" s="3" t="s">
        <v>11</v>
      </c>
      <c r="P25" s="3" t="s">
        <v>11</v>
      </c>
      <c r="Q25" s="46" t="s">
        <v>11</v>
      </c>
      <c r="R25" s="3" t="s">
        <v>11</v>
      </c>
      <c r="S25" s="3" t="s">
        <v>11</v>
      </c>
      <c r="T25" s="46" t="s">
        <v>11</v>
      </c>
      <c r="V25" s="85"/>
      <c r="W25" s="42" t="s">
        <v>286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</row>
    <row r="26" spans="4:29" x14ac:dyDescent="0.25">
      <c r="D26" s="85"/>
      <c r="E26" s="42" t="s">
        <v>294</v>
      </c>
      <c r="F26" s="1" t="s">
        <v>9</v>
      </c>
      <c r="G26" s="2" t="s">
        <v>272</v>
      </c>
      <c r="H26" s="44" t="s">
        <v>11</v>
      </c>
      <c r="I26" s="1" t="s">
        <v>9</v>
      </c>
      <c r="J26" s="2" t="s">
        <v>272</v>
      </c>
      <c r="K26" s="44" t="s">
        <v>11</v>
      </c>
      <c r="L26" s="21"/>
      <c r="M26" s="85"/>
      <c r="N26" s="42" t="s">
        <v>294</v>
      </c>
      <c r="O26" s="3" t="s">
        <v>11</v>
      </c>
      <c r="P26" s="3" t="s">
        <v>11</v>
      </c>
      <c r="Q26" s="46" t="s">
        <v>11</v>
      </c>
      <c r="R26" s="3" t="s">
        <v>11</v>
      </c>
      <c r="S26" s="3" t="s">
        <v>11</v>
      </c>
      <c r="T26" s="46" t="s">
        <v>11</v>
      </c>
      <c r="V26" s="85"/>
      <c r="W26" s="42" t="s">
        <v>294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</row>
    <row r="27" spans="4:29" x14ac:dyDescent="0.25">
      <c r="D27" s="85"/>
      <c r="E27" s="42" t="s">
        <v>287</v>
      </c>
      <c r="F27" s="1" t="s">
        <v>9</v>
      </c>
      <c r="G27" s="2" t="s">
        <v>272</v>
      </c>
      <c r="H27" s="44" t="s">
        <v>11</v>
      </c>
      <c r="I27" s="1" t="s">
        <v>9</v>
      </c>
      <c r="J27" s="2" t="s">
        <v>272</v>
      </c>
      <c r="K27" s="44" t="s">
        <v>11</v>
      </c>
      <c r="L27" s="36"/>
      <c r="M27" s="85"/>
      <c r="N27" s="42" t="s">
        <v>287</v>
      </c>
      <c r="O27" s="3" t="s">
        <v>11</v>
      </c>
      <c r="P27" s="3" t="s">
        <v>11</v>
      </c>
      <c r="Q27" s="46" t="s">
        <v>11</v>
      </c>
      <c r="R27" s="3" t="s">
        <v>11</v>
      </c>
      <c r="S27" s="3" t="s">
        <v>11</v>
      </c>
      <c r="T27" s="46" t="s">
        <v>11</v>
      </c>
      <c r="V27" s="85"/>
      <c r="W27" s="42" t="s">
        <v>287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</row>
    <row r="28" spans="4:29" x14ac:dyDescent="0.25">
      <c r="D28" s="85"/>
      <c r="E28" s="42" t="s">
        <v>314</v>
      </c>
      <c r="F28" s="1" t="s">
        <v>9</v>
      </c>
      <c r="G28" s="2" t="s">
        <v>272</v>
      </c>
      <c r="H28" s="44" t="s">
        <v>11</v>
      </c>
      <c r="I28" s="1" t="s">
        <v>9</v>
      </c>
      <c r="J28" s="2" t="s">
        <v>272</v>
      </c>
      <c r="K28" s="44" t="s">
        <v>11</v>
      </c>
      <c r="L28" s="33"/>
      <c r="M28" s="85"/>
      <c r="N28" s="42" t="s">
        <v>314</v>
      </c>
      <c r="O28" s="3" t="s">
        <v>11</v>
      </c>
      <c r="P28" s="3" t="s">
        <v>11</v>
      </c>
      <c r="Q28" s="46" t="s">
        <v>11</v>
      </c>
      <c r="R28" s="3" t="s">
        <v>11</v>
      </c>
      <c r="S28" s="3" t="s">
        <v>11</v>
      </c>
      <c r="T28" s="46" t="s">
        <v>11</v>
      </c>
      <c r="V28" s="85"/>
      <c r="W28" s="42" t="s">
        <v>314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</row>
    <row r="29" spans="4:29" x14ac:dyDescent="0.25">
      <c r="D29" s="85"/>
      <c r="E29" s="42" t="s">
        <v>296</v>
      </c>
      <c r="F29" s="1" t="s">
        <v>9</v>
      </c>
      <c r="G29" s="2" t="s">
        <v>272</v>
      </c>
      <c r="H29" s="44" t="s">
        <v>11</v>
      </c>
      <c r="I29" s="1" t="s">
        <v>9</v>
      </c>
      <c r="J29" s="2" t="s">
        <v>272</v>
      </c>
      <c r="K29" s="44" t="s">
        <v>11</v>
      </c>
      <c r="L29" s="33"/>
      <c r="M29" s="85"/>
      <c r="N29" s="42" t="s">
        <v>296</v>
      </c>
      <c r="O29" s="3" t="s">
        <v>11</v>
      </c>
      <c r="P29" s="3" t="s">
        <v>11</v>
      </c>
      <c r="Q29" s="46" t="s">
        <v>11</v>
      </c>
      <c r="R29" s="3" t="s">
        <v>11</v>
      </c>
      <c r="S29" s="3" t="s">
        <v>11</v>
      </c>
      <c r="T29" s="46" t="s">
        <v>11</v>
      </c>
      <c r="V29" s="85"/>
      <c r="W29" s="42" t="s">
        <v>296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</row>
    <row r="30" spans="4:29" x14ac:dyDescent="0.25">
      <c r="D30" s="85"/>
      <c r="E30" s="42" t="s">
        <v>297</v>
      </c>
      <c r="F30" s="1" t="s">
        <v>9</v>
      </c>
      <c r="G30" s="2" t="s">
        <v>272</v>
      </c>
      <c r="H30" s="44" t="s">
        <v>11</v>
      </c>
      <c r="I30" s="1" t="s">
        <v>9</v>
      </c>
      <c r="J30" s="2" t="s">
        <v>272</v>
      </c>
      <c r="K30" s="44" t="s">
        <v>11</v>
      </c>
      <c r="L30" s="33"/>
      <c r="M30" s="85"/>
      <c r="N30" s="42" t="s">
        <v>297</v>
      </c>
      <c r="O30" s="3" t="s">
        <v>11</v>
      </c>
      <c r="P30" s="3" t="s">
        <v>11</v>
      </c>
      <c r="Q30" s="46" t="s">
        <v>11</v>
      </c>
      <c r="R30" s="3" t="s">
        <v>11</v>
      </c>
      <c r="S30" s="3" t="s">
        <v>11</v>
      </c>
      <c r="T30" s="46" t="s">
        <v>11</v>
      </c>
      <c r="V30" s="85"/>
      <c r="W30" s="42" t="s">
        <v>297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</row>
    <row r="31" spans="4:29" x14ac:dyDescent="0.25">
      <c r="D31" s="85"/>
      <c r="E31" s="42" t="s">
        <v>298</v>
      </c>
      <c r="F31" s="1" t="s">
        <v>9</v>
      </c>
      <c r="G31" s="2" t="s">
        <v>272</v>
      </c>
      <c r="H31" s="44" t="s">
        <v>11</v>
      </c>
      <c r="I31" s="1" t="s">
        <v>9</v>
      </c>
      <c r="J31" s="2" t="s">
        <v>272</v>
      </c>
      <c r="K31" s="44" t="s">
        <v>11</v>
      </c>
      <c r="L31" s="33"/>
      <c r="M31" s="85"/>
      <c r="N31" s="42" t="s">
        <v>298</v>
      </c>
      <c r="O31" s="3" t="s">
        <v>11</v>
      </c>
      <c r="P31" s="3" t="s">
        <v>11</v>
      </c>
      <c r="Q31" s="46" t="s">
        <v>11</v>
      </c>
      <c r="R31" s="3" t="s">
        <v>11</v>
      </c>
      <c r="S31" s="3" t="s">
        <v>11</v>
      </c>
      <c r="T31" s="46" t="s">
        <v>11</v>
      </c>
      <c r="V31" s="85"/>
      <c r="W31" s="42" t="s">
        <v>298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</row>
    <row r="32" spans="4:29" x14ac:dyDescent="0.25">
      <c r="D32" s="85"/>
      <c r="E32" s="42" t="s">
        <v>288</v>
      </c>
      <c r="F32" s="1" t="s">
        <v>9</v>
      </c>
      <c r="G32" s="2" t="s">
        <v>272</v>
      </c>
      <c r="H32" s="44" t="s">
        <v>11</v>
      </c>
      <c r="I32" s="1" t="s">
        <v>9</v>
      </c>
      <c r="J32" s="2" t="s">
        <v>272</v>
      </c>
      <c r="K32" s="44" t="s">
        <v>11</v>
      </c>
      <c r="L32" s="33"/>
      <c r="M32" s="85"/>
      <c r="N32" s="42" t="s">
        <v>288</v>
      </c>
      <c r="O32" s="3" t="s">
        <v>11</v>
      </c>
      <c r="P32" s="3" t="s">
        <v>11</v>
      </c>
      <c r="Q32" s="46" t="s">
        <v>11</v>
      </c>
      <c r="R32" s="3" t="s">
        <v>11</v>
      </c>
      <c r="S32" s="3" t="s">
        <v>11</v>
      </c>
      <c r="T32" s="46" t="s">
        <v>11</v>
      </c>
      <c r="V32" s="85"/>
      <c r="W32" s="42" t="s">
        <v>288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</row>
    <row r="33" spans="4:29" x14ac:dyDescent="0.25">
      <c r="D33" s="85"/>
      <c r="E33" s="42" t="s">
        <v>289</v>
      </c>
      <c r="F33" s="1" t="s">
        <v>9</v>
      </c>
      <c r="G33" s="2" t="s">
        <v>272</v>
      </c>
      <c r="H33" s="44" t="s">
        <v>11</v>
      </c>
      <c r="I33" s="1" t="s">
        <v>9</v>
      </c>
      <c r="J33" s="2" t="s">
        <v>272</v>
      </c>
      <c r="K33" s="44" t="s">
        <v>11</v>
      </c>
      <c r="L33" s="33"/>
      <c r="M33" s="85"/>
      <c r="N33" s="42" t="s">
        <v>289</v>
      </c>
      <c r="O33" s="3" t="s">
        <v>11</v>
      </c>
      <c r="P33" s="3" t="s">
        <v>11</v>
      </c>
      <c r="Q33" s="46" t="s">
        <v>11</v>
      </c>
      <c r="R33" s="3" t="s">
        <v>11</v>
      </c>
      <c r="S33" s="3" t="s">
        <v>11</v>
      </c>
      <c r="T33" s="46" t="s">
        <v>11</v>
      </c>
      <c r="V33" s="85"/>
      <c r="W33" s="42" t="s">
        <v>289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</row>
    <row r="34" spans="4:29" x14ac:dyDescent="0.25">
      <c r="D34" s="85"/>
      <c r="E34" s="42" t="s">
        <v>295</v>
      </c>
      <c r="F34" s="1" t="s">
        <v>9</v>
      </c>
      <c r="G34" s="2" t="s">
        <v>272</v>
      </c>
      <c r="H34" s="44" t="s">
        <v>11</v>
      </c>
      <c r="I34" s="1" t="s">
        <v>9</v>
      </c>
      <c r="J34" s="2" t="s">
        <v>272</v>
      </c>
      <c r="K34" s="44" t="s">
        <v>11</v>
      </c>
      <c r="L34" s="33"/>
      <c r="M34" s="85"/>
      <c r="N34" s="42" t="s">
        <v>295</v>
      </c>
      <c r="O34" s="3" t="s">
        <v>11</v>
      </c>
      <c r="P34" s="3" t="s">
        <v>11</v>
      </c>
      <c r="Q34" s="46" t="s">
        <v>11</v>
      </c>
      <c r="R34" s="3" t="s">
        <v>11</v>
      </c>
      <c r="S34" s="3" t="s">
        <v>11</v>
      </c>
      <c r="T34" s="46" t="s">
        <v>11</v>
      </c>
      <c r="V34" s="85"/>
      <c r="W34" s="42" t="s">
        <v>295</v>
      </c>
      <c r="X34" s="1" t="s">
        <v>9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</row>
    <row r="35" spans="4:29" x14ac:dyDescent="0.25">
      <c r="D35" s="85"/>
      <c r="E35" s="42" t="s">
        <v>290</v>
      </c>
      <c r="F35" s="1" t="s">
        <v>9</v>
      </c>
      <c r="G35" s="2" t="s">
        <v>272</v>
      </c>
      <c r="H35" s="44" t="s">
        <v>11</v>
      </c>
      <c r="I35" s="1" t="s">
        <v>9</v>
      </c>
      <c r="J35" s="2" t="s">
        <v>272</v>
      </c>
      <c r="K35" s="44" t="s">
        <v>11</v>
      </c>
      <c r="L35" s="33"/>
      <c r="M35" s="85"/>
      <c r="N35" s="42" t="s">
        <v>290</v>
      </c>
      <c r="O35" s="3" t="s">
        <v>11</v>
      </c>
      <c r="P35" s="3" t="s">
        <v>11</v>
      </c>
      <c r="Q35" s="46" t="s">
        <v>11</v>
      </c>
      <c r="R35" s="3" t="s">
        <v>11</v>
      </c>
      <c r="S35" s="3" t="s">
        <v>11</v>
      </c>
      <c r="T35" s="46" t="s">
        <v>11</v>
      </c>
      <c r="V35" s="85"/>
      <c r="W35" s="42" t="s">
        <v>290</v>
      </c>
      <c r="X35" s="1" t="s">
        <v>9</v>
      </c>
      <c r="Y35" s="1" t="s">
        <v>9</v>
      </c>
      <c r="Z35" s="1" t="s">
        <v>9</v>
      </c>
      <c r="AA35" s="1" t="s">
        <v>9</v>
      </c>
      <c r="AB35" s="1" t="s">
        <v>9</v>
      </c>
      <c r="AC35" s="1" t="s">
        <v>9</v>
      </c>
    </row>
    <row r="36" spans="4:29" x14ac:dyDescent="0.25">
      <c r="D36" s="85" t="s">
        <v>4</v>
      </c>
      <c r="E36" s="42" t="s">
        <v>291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3"/>
      <c r="M36" s="85" t="s">
        <v>4</v>
      </c>
      <c r="N36" s="42" t="s">
        <v>291</v>
      </c>
      <c r="O36" s="3" t="s">
        <v>11</v>
      </c>
      <c r="P36" s="1" t="s">
        <v>9</v>
      </c>
      <c r="Q36" s="46" t="s">
        <v>11</v>
      </c>
      <c r="R36" s="3" t="s">
        <v>11</v>
      </c>
      <c r="S36" s="1" t="s">
        <v>9</v>
      </c>
      <c r="T36" s="46" t="s">
        <v>11</v>
      </c>
      <c r="V36" s="85" t="s">
        <v>4</v>
      </c>
      <c r="W36" s="42" t="s">
        <v>291</v>
      </c>
      <c r="X36" s="2" t="s">
        <v>272</v>
      </c>
      <c r="Y36" s="1" t="s">
        <v>9</v>
      </c>
      <c r="Z36" s="44" t="s">
        <v>11</v>
      </c>
      <c r="AA36" s="2" t="s">
        <v>272</v>
      </c>
      <c r="AB36" s="1" t="s">
        <v>9</v>
      </c>
      <c r="AC36" s="44" t="s">
        <v>11</v>
      </c>
    </row>
    <row r="37" spans="4:29" x14ac:dyDescent="0.25">
      <c r="D37" s="85"/>
      <c r="E37" s="42" t="s">
        <v>292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  <c r="M37" s="85"/>
      <c r="N37" s="42" t="s">
        <v>292</v>
      </c>
      <c r="O37" s="3" t="s">
        <v>11</v>
      </c>
      <c r="P37" s="1" t="s">
        <v>9</v>
      </c>
      <c r="Q37" s="46" t="s">
        <v>11</v>
      </c>
      <c r="R37" s="3" t="s">
        <v>11</v>
      </c>
      <c r="S37" s="1" t="s">
        <v>9</v>
      </c>
      <c r="T37" s="46" t="s">
        <v>11</v>
      </c>
      <c r="V37" s="85"/>
      <c r="W37" s="42" t="s">
        <v>292</v>
      </c>
      <c r="X37" s="2" t="s">
        <v>272</v>
      </c>
      <c r="Y37" s="1" t="s">
        <v>9</v>
      </c>
      <c r="Z37" s="44" t="s">
        <v>11</v>
      </c>
      <c r="AA37" s="2" t="s">
        <v>272</v>
      </c>
      <c r="AB37" s="1" t="s">
        <v>9</v>
      </c>
      <c r="AC37" s="44" t="s">
        <v>11</v>
      </c>
    </row>
    <row r="38" spans="4:29" x14ac:dyDescent="0.25">
      <c r="D38" s="85"/>
      <c r="E38" s="42" t="s">
        <v>299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  <c r="M38" s="85"/>
      <c r="N38" s="42" t="s">
        <v>299</v>
      </c>
      <c r="O38" s="3" t="s">
        <v>11</v>
      </c>
      <c r="P38" s="1" t="s">
        <v>9</v>
      </c>
      <c r="Q38" s="46" t="s">
        <v>11</v>
      </c>
      <c r="R38" s="3" t="s">
        <v>11</v>
      </c>
      <c r="S38" s="1" t="s">
        <v>9</v>
      </c>
      <c r="T38" s="46" t="s">
        <v>11</v>
      </c>
      <c r="V38" s="85"/>
      <c r="W38" s="42" t="s">
        <v>299</v>
      </c>
      <c r="X38" s="2" t="s">
        <v>272</v>
      </c>
      <c r="Y38" s="1" t="s">
        <v>9</v>
      </c>
      <c r="Z38" s="44" t="s">
        <v>11</v>
      </c>
      <c r="AA38" s="2" t="s">
        <v>272</v>
      </c>
      <c r="AB38" s="1" t="s">
        <v>9</v>
      </c>
      <c r="AC38" s="44" t="s">
        <v>11</v>
      </c>
    </row>
    <row r="39" spans="4:29" x14ac:dyDescent="0.25">
      <c r="D39" s="85"/>
      <c r="E39" s="42" t="s">
        <v>293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  <c r="M39" s="85"/>
      <c r="N39" s="42" t="s">
        <v>293</v>
      </c>
      <c r="O39" s="3" t="s">
        <v>11</v>
      </c>
      <c r="P39" s="1" t="s">
        <v>9</v>
      </c>
      <c r="Q39" s="46" t="s">
        <v>11</v>
      </c>
      <c r="R39" s="3" t="s">
        <v>11</v>
      </c>
      <c r="S39" s="1" t="s">
        <v>9</v>
      </c>
      <c r="T39" s="46" t="s">
        <v>11</v>
      </c>
      <c r="V39" s="85"/>
      <c r="W39" s="42" t="s">
        <v>293</v>
      </c>
      <c r="X39" s="2" t="s">
        <v>272</v>
      </c>
      <c r="Y39" s="1" t="s">
        <v>9</v>
      </c>
      <c r="Z39" s="44" t="s">
        <v>11</v>
      </c>
      <c r="AA39" s="2" t="s">
        <v>272</v>
      </c>
      <c r="AB39" s="1" t="s">
        <v>9</v>
      </c>
      <c r="AC39" s="44" t="s">
        <v>11</v>
      </c>
    </row>
    <row r="40" spans="4:29" x14ac:dyDescent="0.25">
      <c r="D40" s="85"/>
      <c r="E40" s="42" t="s">
        <v>288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  <c r="M40" s="85"/>
      <c r="N40" s="42" t="s">
        <v>288</v>
      </c>
      <c r="O40" s="3" t="s">
        <v>11</v>
      </c>
      <c r="P40" s="1" t="s">
        <v>9</v>
      </c>
      <c r="Q40" s="46" t="s">
        <v>11</v>
      </c>
      <c r="R40" s="3" t="s">
        <v>11</v>
      </c>
      <c r="S40" s="1" t="s">
        <v>9</v>
      </c>
      <c r="T40" s="46" t="s">
        <v>11</v>
      </c>
      <c r="V40" s="85"/>
      <c r="W40" s="42" t="s">
        <v>288</v>
      </c>
      <c r="X40" s="2" t="s">
        <v>272</v>
      </c>
      <c r="Y40" s="1" t="s">
        <v>9</v>
      </c>
      <c r="Z40" s="44" t="s">
        <v>11</v>
      </c>
      <c r="AA40" s="2" t="s">
        <v>272</v>
      </c>
      <c r="AB40" s="1" t="s">
        <v>9</v>
      </c>
      <c r="AC40" s="44" t="s">
        <v>11</v>
      </c>
    </row>
    <row r="41" spans="4:29" x14ac:dyDescent="0.25">
      <c r="D41" s="85"/>
      <c r="E41" s="42" t="s">
        <v>289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38"/>
      <c r="M41" s="85"/>
      <c r="N41" s="42" t="s">
        <v>289</v>
      </c>
      <c r="O41" s="3" t="s">
        <v>11</v>
      </c>
      <c r="P41" s="1" t="s">
        <v>9</v>
      </c>
      <c r="Q41" s="46" t="s">
        <v>11</v>
      </c>
      <c r="R41" s="3" t="s">
        <v>11</v>
      </c>
      <c r="S41" s="1" t="s">
        <v>9</v>
      </c>
      <c r="T41" s="46" t="s">
        <v>11</v>
      </c>
      <c r="V41" s="85"/>
      <c r="W41" s="42" t="s">
        <v>289</v>
      </c>
      <c r="X41" s="2" t="s">
        <v>272</v>
      </c>
      <c r="Y41" s="1" t="s">
        <v>9</v>
      </c>
      <c r="Z41" s="44" t="s">
        <v>11</v>
      </c>
      <c r="AA41" s="2" t="s">
        <v>272</v>
      </c>
      <c r="AB41" s="1" t="s">
        <v>9</v>
      </c>
      <c r="AC41" s="44" t="s">
        <v>11</v>
      </c>
    </row>
    <row r="42" spans="4:29" x14ac:dyDescent="0.25">
      <c r="D42" s="85"/>
      <c r="E42" s="42" t="s">
        <v>295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M42" s="85"/>
      <c r="N42" s="42" t="s">
        <v>295</v>
      </c>
      <c r="O42" s="3" t="s">
        <v>11</v>
      </c>
      <c r="P42" s="1" t="s">
        <v>9</v>
      </c>
      <c r="Q42" s="46" t="s">
        <v>11</v>
      </c>
      <c r="R42" s="3" t="s">
        <v>11</v>
      </c>
      <c r="S42" s="1" t="s">
        <v>9</v>
      </c>
      <c r="T42" s="46" t="s">
        <v>11</v>
      </c>
      <c r="V42" s="85"/>
      <c r="W42" s="42" t="s">
        <v>295</v>
      </c>
      <c r="X42" s="2" t="s">
        <v>272</v>
      </c>
      <c r="Y42" s="1" t="s">
        <v>9</v>
      </c>
      <c r="Z42" s="44" t="s">
        <v>11</v>
      </c>
      <c r="AA42" s="2" t="s">
        <v>272</v>
      </c>
      <c r="AB42" s="1" t="s">
        <v>9</v>
      </c>
      <c r="AC42" s="44" t="s">
        <v>11</v>
      </c>
    </row>
    <row r="43" spans="4:29" x14ac:dyDescent="0.25">
      <c r="D43" s="85"/>
      <c r="E43" s="42" t="s">
        <v>290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M43" s="85"/>
      <c r="N43" s="42" t="s">
        <v>290</v>
      </c>
      <c r="O43" s="3" t="s">
        <v>11</v>
      </c>
      <c r="P43" s="1" t="s">
        <v>9</v>
      </c>
      <c r="Q43" s="46" t="s">
        <v>11</v>
      </c>
      <c r="R43" s="3" t="s">
        <v>11</v>
      </c>
      <c r="S43" s="1" t="s">
        <v>9</v>
      </c>
      <c r="T43" s="46" t="s">
        <v>11</v>
      </c>
      <c r="V43" s="85"/>
      <c r="W43" s="42" t="s">
        <v>290</v>
      </c>
      <c r="X43" s="2" t="s">
        <v>272</v>
      </c>
      <c r="Y43" s="1" t="s">
        <v>9</v>
      </c>
      <c r="Z43" s="44" t="s">
        <v>11</v>
      </c>
      <c r="AA43" s="2" t="s">
        <v>272</v>
      </c>
      <c r="AB43" s="1" t="s">
        <v>9</v>
      </c>
      <c r="AC43" s="44" t="s">
        <v>11</v>
      </c>
    </row>
    <row r="44" spans="4:29" x14ac:dyDescent="0.25">
      <c r="D44" s="85" t="s">
        <v>3</v>
      </c>
      <c r="E44" s="42" t="s">
        <v>285</v>
      </c>
      <c r="F44" s="1" t="s">
        <v>9</v>
      </c>
      <c r="G44" s="2" t="s">
        <v>272</v>
      </c>
      <c r="H44" s="44" t="s">
        <v>11</v>
      </c>
      <c r="I44" s="1" t="s">
        <v>9</v>
      </c>
      <c r="J44" s="2" t="s">
        <v>272</v>
      </c>
      <c r="K44" s="44" t="s">
        <v>11</v>
      </c>
      <c r="M44" s="85" t="s">
        <v>3</v>
      </c>
      <c r="N44" s="42" t="s">
        <v>285</v>
      </c>
      <c r="O44" s="3" t="s">
        <v>11</v>
      </c>
      <c r="P44" s="3" t="s">
        <v>11</v>
      </c>
      <c r="Q44" s="46" t="s">
        <v>11</v>
      </c>
      <c r="R44" s="3" t="s">
        <v>11</v>
      </c>
      <c r="S44" s="3" t="s">
        <v>11</v>
      </c>
      <c r="T44" s="46" t="s">
        <v>11</v>
      </c>
      <c r="V44" s="85" t="s">
        <v>3</v>
      </c>
      <c r="W44" s="42" t="s">
        <v>285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</row>
    <row r="45" spans="4:29" x14ac:dyDescent="0.25">
      <c r="D45" s="85"/>
      <c r="E45" s="42" t="s">
        <v>286</v>
      </c>
      <c r="F45" s="1" t="s">
        <v>9</v>
      </c>
      <c r="G45" s="2" t="s">
        <v>272</v>
      </c>
      <c r="H45" s="44" t="s">
        <v>11</v>
      </c>
      <c r="I45" s="1" t="s">
        <v>9</v>
      </c>
      <c r="J45" s="2" t="s">
        <v>272</v>
      </c>
      <c r="K45" s="44" t="s">
        <v>11</v>
      </c>
      <c r="M45" s="85"/>
      <c r="N45" s="42" t="s">
        <v>286</v>
      </c>
      <c r="O45" s="3" t="s">
        <v>11</v>
      </c>
      <c r="P45" s="3" t="s">
        <v>11</v>
      </c>
      <c r="Q45" s="46" t="s">
        <v>11</v>
      </c>
      <c r="R45" s="3" t="s">
        <v>11</v>
      </c>
      <c r="S45" s="3" t="s">
        <v>11</v>
      </c>
      <c r="T45" s="46" t="s">
        <v>11</v>
      </c>
      <c r="V45" s="85"/>
      <c r="W45" s="42" t="s">
        <v>286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</row>
    <row r="46" spans="4:29" x14ac:dyDescent="0.25">
      <c r="D46" s="85"/>
      <c r="E46" s="42" t="s">
        <v>294</v>
      </c>
      <c r="F46" s="1" t="s">
        <v>9</v>
      </c>
      <c r="G46" s="2" t="s">
        <v>272</v>
      </c>
      <c r="H46" s="44" t="s">
        <v>11</v>
      </c>
      <c r="I46" s="1" t="s">
        <v>9</v>
      </c>
      <c r="J46" s="2" t="s">
        <v>272</v>
      </c>
      <c r="K46" s="44" t="s">
        <v>11</v>
      </c>
      <c r="M46" s="85"/>
      <c r="N46" s="42" t="s">
        <v>294</v>
      </c>
      <c r="O46" s="3" t="s">
        <v>11</v>
      </c>
      <c r="P46" s="3" t="s">
        <v>11</v>
      </c>
      <c r="Q46" s="46" t="s">
        <v>11</v>
      </c>
      <c r="R46" s="3" t="s">
        <v>11</v>
      </c>
      <c r="S46" s="3" t="s">
        <v>11</v>
      </c>
      <c r="T46" s="46" t="s">
        <v>11</v>
      </c>
      <c r="V46" s="85"/>
      <c r="W46" s="42" t="s">
        <v>294</v>
      </c>
      <c r="X46" s="1" t="s">
        <v>9</v>
      </c>
      <c r="Y46" s="1" t="s">
        <v>9</v>
      </c>
      <c r="Z46" s="1" t="s">
        <v>9</v>
      </c>
      <c r="AA46" s="1" t="s">
        <v>9</v>
      </c>
      <c r="AB46" s="1" t="s">
        <v>9</v>
      </c>
      <c r="AC46" s="1" t="s">
        <v>9</v>
      </c>
    </row>
    <row r="47" spans="4:29" x14ac:dyDescent="0.25">
      <c r="D47" s="85"/>
      <c r="E47" s="42" t="s">
        <v>287</v>
      </c>
      <c r="F47" s="1" t="s">
        <v>9</v>
      </c>
      <c r="G47" s="2" t="s">
        <v>272</v>
      </c>
      <c r="H47" s="44" t="s">
        <v>11</v>
      </c>
      <c r="I47" s="1" t="s">
        <v>9</v>
      </c>
      <c r="J47" s="2" t="s">
        <v>272</v>
      </c>
      <c r="K47" s="44" t="s">
        <v>11</v>
      </c>
      <c r="M47" s="85"/>
      <c r="N47" s="42" t="s">
        <v>287</v>
      </c>
      <c r="O47" s="3" t="s">
        <v>11</v>
      </c>
      <c r="P47" s="3" t="s">
        <v>11</v>
      </c>
      <c r="Q47" s="46" t="s">
        <v>11</v>
      </c>
      <c r="R47" s="3" t="s">
        <v>11</v>
      </c>
      <c r="S47" s="3" t="s">
        <v>11</v>
      </c>
      <c r="T47" s="46" t="s">
        <v>11</v>
      </c>
      <c r="V47" s="85"/>
      <c r="W47" s="42" t="s">
        <v>287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</row>
    <row r="48" spans="4:29" x14ac:dyDescent="0.25">
      <c r="D48" s="47" t="s">
        <v>300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M48" s="47" t="s">
        <v>300</v>
      </c>
      <c r="N48" s="43" t="s">
        <v>6</v>
      </c>
      <c r="O48" s="2" t="s">
        <v>272</v>
      </c>
      <c r="P48" s="1" t="s">
        <v>9</v>
      </c>
      <c r="Q48" s="44" t="s">
        <v>11</v>
      </c>
      <c r="R48" s="2" t="s">
        <v>272</v>
      </c>
      <c r="S48" s="1" t="s">
        <v>9</v>
      </c>
      <c r="T48" s="44" t="s">
        <v>11</v>
      </c>
      <c r="V48" s="47" t="s">
        <v>300</v>
      </c>
      <c r="W48" s="43" t="s">
        <v>6</v>
      </c>
      <c r="X48" s="2" t="s">
        <v>272</v>
      </c>
      <c r="Y48" s="1" t="s">
        <v>9</v>
      </c>
      <c r="Z48" s="44" t="s">
        <v>11</v>
      </c>
      <c r="AA48" s="2" t="s">
        <v>272</v>
      </c>
      <c r="AB48" s="1" t="s">
        <v>9</v>
      </c>
      <c r="AC48" s="44" t="s">
        <v>11</v>
      </c>
    </row>
    <row r="49" spans="2:29" x14ac:dyDescent="0.25">
      <c r="D49" s="47" t="s">
        <v>301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M49" s="47" t="s">
        <v>301</v>
      </c>
      <c r="N49" s="43" t="s">
        <v>6</v>
      </c>
      <c r="O49" s="2" t="s">
        <v>272</v>
      </c>
      <c r="P49" s="1" t="s">
        <v>9</v>
      </c>
      <c r="Q49" s="44" t="s">
        <v>11</v>
      </c>
      <c r="R49" s="2" t="s">
        <v>272</v>
      </c>
      <c r="S49" s="1" t="s">
        <v>9</v>
      </c>
      <c r="T49" s="44" t="s">
        <v>11</v>
      </c>
      <c r="V49" s="47" t="s">
        <v>301</v>
      </c>
      <c r="W49" s="43" t="s">
        <v>6</v>
      </c>
      <c r="X49" s="2" t="s">
        <v>272</v>
      </c>
      <c r="Y49" s="1" t="s">
        <v>9</v>
      </c>
      <c r="Z49" s="44" t="s">
        <v>11</v>
      </c>
      <c r="AA49" s="2" t="s">
        <v>272</v>
      </c>
      <c r="AB49" s="1" t="s">
        <v>9</v>
      </c>
      <c r="AC49" s="44" t="s">
        <v>11</v>
      </c>
    </row>
    <row r="50" spans="2:29" x14ac:dyDescent="0.25">
      <c r="D50" s="48" t="s">
        <v>5</v>
      </c>
      <c r="E50" s="43" t="s">
        <v>6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M50" s="48" t="s">
        <v>5</v>
      </c>
      <c r="N50" s="43" t="s">
        <v>6</v>
      </c>
      <c r="O50" s="2" t="s">
        <v>272</v>
      </c>
      <c r="P50" s="1" t="s">
        <v>9</v>
      </c>
      <c r="Q50" s="44" t="s">
        <v>11</v>
      </c>
      <c r="R50" s="2" t="s">
        <v>272</v>
      </c>
      <c r="S50" s="1" t="s">
        <v>9</v>
      </c>
      <c r="T50" s="44" t="s">
        <v>11</v>
      </c>
      <c r="V50" s="48" t="s">
        <v>5</v>
      </c>
      <c r="W50" s="43" t="s">
        <v>6</v>
      </c>
      <c r="X50" s="2" t="s">
        <v>272</v>
      </c>
      <c r="Y50" s="1" t="s">
        <v>9</v>
      </c>
      <c r="Z50" s="44" t="s">
        <v>11</v>
      </c>
      <c r="AA50" s="2" t="s">
        <v>272</v>
      </c>
      <c r="AB50" s="1" t="s">
        <v>9</v>
      </c>
      <c r="AC50" s="44" t="s">
        <v>11</v>
      </c>
    </row>
    <row r="51" spans="2:29" x14ac:dyDescent="0.25">
      <c r="D51" s="48" t="s">
        <v>325</v>
      </c>
      <c r="E51" s="43" t="s">
        <v>7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M51" s="48" t="s">
        <v>325</v>
      </c>
      <c r="N51" s="43" t="s">
        <v>7</v>
      </c>
      <c r="O51" s="1" t="s">
        <v>9</v>
      </c>
      <c r="P51" s="1" t="s">
        <v>9</v>
      </c>
      <c r="Q51" s="44" t="s">
        <v>11</v>
      </c>
      <c r="R51" s="1" t="s">
        <v>9</v>
      </c>
      <c r="S51" s="1" t="s">
        <v>9</v>
      </c>
      <c r="T51" s="44" t="s">
        <v>11</v>
      </c>
      <c r="V51" s="48" t="s">
        <v>325</v>
      </c>
      <c r="W51" s="43" t="s">
        <v>7</v>
      </c>
      <c r="X51" s="1" t="s">
        <v>9</v>
      </c>
      <c r="Y51" s="1" t="s">
        <v>9</v>
      </c>
      <c r="Z51" s="1" t="s">
        <v>9</v>
      </c>
      <c r="AA51" s="1" t="s">
        <v>9</v>
      </c>
      <c r="AB51" s="1" t="s">
        <v>9</v>
      </c>
      <c r="AC51" s="1" t="s">
        <v>9</v>
      </c>
    </row>
    <row r="52" spans="2:29" x14ac:dyDescent="0.25">
      <c r="D52" s="85" t="s">
        <v>312</v>
      </c>
      <c r="E52" s="43" t="s">
        <v>285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M52" s="85" t="s">
        <v>312</v>
      </c>
      <c r="N52" s="43" t="s">
        <v>285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V52" s="85" t="s">
        <v>312</v>
      </c>
      <c r="W52" s="43" t="s">
        <v>285</v>
      </c>
      <c r="X52" s="2" t="s">
        <v>272</v>
      </c>
      <c r="Y52" s="1" t="s">
        <v>9</v>
      </c>
      <c r="Z52" s="44" t="s">
        <v>11</v>
      </c>
      <c r="AA52" s="2" t="s">
        <v>272</v>
      </c>
      <c r="AB52" s="1" t="s">
        <v>9</v>
      </c>
      <c r="AC52" s="44" t="s">
        <v>11</v>
      </c>
    </row>
    <row r="53" spans="2:29" x14ac:dyDescent="0.25">
      <c r="D53" s="85"/>
      <c r="E53" s="43" t="s">
        <v>294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M53" s="85"/>
      <c r="N53" s="43" t="s">
        <v>294</v>
      </c>
      <c r="O53" s="1" t="s">
        <v>9</v>
      </c>
      <c r="P53" s="1" t="s">
        <v>9</v>
      </c>
      <c r="Q53" s="1" t="s">
        <v>9</v>
      </c>
      <c r="R53" s="1" t="s">
        <v>9</v>
      </c>
      <c r="S53" s="1" t="s">
        <v>9</v>
      </c>
      <c r="T53" s="1" t="s">
        <v>9</v>
      </c>
      <c r="V53" s="85"/>
      <c r="W53" s="43" t="s">
        <v>294</v>
      </c>
      <c r="X53" s="2" t="s">
        <v>272</v>
      </c>
      <c r="Y53" s="1" t="s">
        <v>9</v>
      </c>
      <c r="Z53" s="44" t="s">
        <v>11</v>
      </c>
      <c r="AA53" s="2" t="s">
        <v>272</v>
      </c>
      <c r="AB53" s="1" t="s">
        <v>9</v>
      </c>
      <c r="AC53" s="44" t="s">
        <v>11</v>
      </c>
    </row>
    <row r="54" spans="2:29" x14ac:dyDescent="0.25">
      <c r="D54" s="85"/>
      <c r="E54" s="43" t="s">
        <v>314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M54" s="85"/>
      <c r="N54" s="43" t="s">
        <v>314</v>
      </c>
      <c r="O54" s="1" t="s">
        <v>9</v>
      </c>
      <c r="P54" s="1" t="s">
        <v>9</v>
      </c>
      <c r="Q54" s="1" t="s">
        <v>9</v>
      </c>
      <c r="R54" s="1" t="s">
        <v>9</v>
      </c>
      <c r="S54" s="1" t="s">
        <v>9</v>
      </c>
      <c r="T54" s="1" t="s">
        <v>9</v>
      </c>
      <c r="V54" s="85"/>
      <c r="W54" s="43" t="s">
        <v>314</v>
      </c>
      <c r="X54" s="2" t="s">
        <v>272</v>
      </c>
      <c r="Y54" s="1" t="s">
        <v>9</v>
      </c>
      <c r="Z54" s="44" t="s">
        <v>11</v>
      </c>
      <c r="AA54" s="2" t="s">
        <v>272</v>
      </c>
      <c r="AB54" s="1" t="s">
        <v>9</v>
      </c>
      <c r="AC54" s="44" t="s">
        <v>11</v>
      </c>
    </row>
    <row r="55" spans="2:29" x14ac:dyDescent="0.25">
      <c r="D55" s="85"/>
      <c r="E55" s="43" t="s">
        <v>297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M55" s="85"/>
      <c r="N55" s="43" t="s">
        <v>297</v>
      </c>
      <c r="O55" s="1" t="s">
        <v>9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9</v>
      </c>
      <c r="V55" s="85"/>
      <c r="W55" s="43" t="s">
        <v>297</v>
      </c>
      <c r="X55" s="2" t="s">
        <v>272</v>
      </c>
      <c r="Y55" s="1" t="s">
        <v>9</v>
      </c>
      <c r="Z55" s="44" t="s">
        <v>11</v>
      </c>
      <c r="AA55" s="2" t="s">
        <v>272</v>
      </c>
      <c r="AB55" s="1" t="s">
        <v>9</v>
      </c>
      <c r="AC55" s="44" t="s">
        <v>11</v>
      </c>
    </row>
    <row r="56" spans="2:29" x14ac:dyDescent="0.25">
      <c r="D56" s="85"/>
      <c r="E56" s="43" t="s">
        <v>288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M56" s="85"/>
      <c r="N56" s="43" t="s">
        <v>288</v>
      </c>
      <c r="O56" s="1" t="s">
        <v>9</v>
      </c>
      <c r="P56" s="1" t="s">
        <v>9</v>
      </c>
      <c r="Q56" s="1" t="s">
        <v>9</v>
      </c>
      <c r="R56" s="1" t="s">
        <v>9</v>
      </c>
      <c r="S56" s="1" t="s">
        <v>9</v>
      </c>
      <c r="T56" s="1" t="s">
        <v>9</v>
      </c>
      <c r="V56" s="85"/>
      <c r="W56" s="43" t="s">
        <v>288</v>
      </c>
      <c r="X56" s="2" t="s">
        <v>272</v>
      </c>
      <c r="Y56" s="1" t="s">
        <v>9</v>
      </c>
      <c r="Z56" s="44" t="s">
        <v>11</v>
      </c>
      <c r="AA56" s="2" t="s">
        <v>272</v>
      </c>
      <c r="AB56" s="1" t="s">
        <v>9</v>
      </c>
      <c r="AC56" s="44" t="s">
        <v>11</v>
      </c>
    </row>
    <row r="57" spans="2:29" x14ac:dyDescent="0.25">
      <c r="D57" s="85"/>
      <c r="E57" s="43" t="s">
        <v>295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M57" s="85"/>
      <c r="N57" s="43" t="s">
        <v>295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V57" s="85"/>
      <c r="W57" s="43" t="s">
        <v>295</v>
      </c>
      <c r="X57" s="2" t="s">
        <v>272</v>
      </c>
      <c r="Y57" s="1" t="s">
        <v>9</v>
      </c>
      <c r="Z57" s="44" t="s">
        <v>11</v>
      </c>
      <c r="AA57" s="2" t="s">
        <v>272</v>
      </c>
      <c r="AB57" s="1" t="s">
        <v>9</v>
      </c>
      <c r="AC57" s="44" t="s">
        <v>11</v>
      </c>
    </row>
    <row r="58" spans="2:29" x14ac:dyDescent="0.25">
      <c r="D58" s="85" t="s">
        <v>313</v>
      </c>
      <c r="E58" s="43" t="s">
        <v>285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  <c r="M58" s="85" t="s">
        <v>313</v>
      </c>
      <c r="N58" s="43" t="s">
        <v>285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V58" s="85" t="s">
        <v>313</v>
      </c>
      <c r="W58" s="43" t="s">
        <v>285</v>
      </c>
      <c r="X58" s="2" t="s">
        <v>272</v>
      </c>
      <c r="Y58" s="1" t="s">
        <v>9</v>
      </c>
      <c r="Z58" s="44" t="s">
        <v>11</v>
      </c>
      <c r="AA58" s="2" t="s">
        <v>272</v>
      </c>
      <c r="AB58" s="1" t="s">
        <v>9</v>
      </c>
      <c r="AC58" s="44" t="s">
        <v>11</v>
      </c>
    </row>
    <row r="59" spans="2:29" x14ac:dyDescent="0.25">
      <c r="D59" s="85"/>
      <c r="E59" s="43" t="s">
        <v>294</v>
      </c>
      <c r="F59" s="1" t="s">
        <v>9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M59" s="85"/>
      <c r="N59" s="43" t="s">
        <v>294</v>
      </c>
      <c r="O59" s="1" t="s">
        <v>9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9</v>
      </c>
      <c r="V59" s="85"/>
      <c r="W59" s="43" t="s">
        <v>294</v>
      </c>
      <c r="X59" s="2" t="s">
        <v>272</v>
      </c>
      <c r="Y59" s="1" t="s">
        <v>9</v>
      </c>
      <c r="Z59" s="44" t="s">
        <v>11</v>
      </c>
      <c r="AA59" s="2" t="s">
        <v>272</v>
      </c>
      <c r="AB59" s="1" t="s">
        <v>9</v>
      </c>
      <c r="AC59" s="44" t="s">
        <v>11</v>
      </c>
    </row>
    <row r="62" spans="2:29" s="55" customFormat="1" ht="15.75" x14ac:dyDescent="0.25">
      <c r="B62" s="54" t="s">
        <v>235</v>
      </c>
      <c r="D62" s="56"/>
    </row>
    <row r="64" spans="2:29" ht="16.5" x14ac:dyDescent="0.3">
      <c r="C64" s="57" t="s">
        <v>273</v>
      </c>
      <c r="D64" s="58"/>
      <c r="E64" s="58"/>
      <c r="F64" s="58"/>
      <c r="G64" s="58"/>
      <c r="H64" s="58"/>
      <c r="I64" s="58"/>
      <c r="J64" s="58"/>
      <c r="K64" s="58"/>
      <c r="M64" s="57" t="s">
        <v>275</v>
      </c>
      <c r="N64" s="58"/>
      <c r="O64" s="58"/>
      <c r="P64" s="58"/>
      <c r="Q64" s="58"/>
      <c r="R64" s="58"/>
      <c r="S64" s="58"/>
      <c r="T64" s="58"/>
      <c r="V64" s="57" t="s">
        <v>276</v>
      </c>
      <c r="W64" s="58"/>
      <c r="X64" s="58"/>
      <c r="Y64" s="58"/>
      <c r="Z64" s="58"/>
      <c r="AA64" s="58"/>
      <c r="AB64" s="58"/>
      <c r="AC64" s="58"/>
    </row>
    <row r="65" spans="3:24" ht="16.5" x14ac:dyDescent="0.3">
      <c r="C65" s="57" t="s">
        <v>274</v>
      </c>
      <c r="D65" s="58"/>
      <c r="E65" s="58"/>
      <c r="F65" s="58"/>
      <c r="G65" s="58"/>
      <c r="H65" s="58"/>
      <c r="I65" s="58"/>
      <c r="J65" s="58"/>
      <c r="K65" s="58"/>
    </row>
    <row r="66" spans="3:24" ht="15.75" x14ac:dyDescent="0.25">
      <c r="C66" s="49"/>
    </row>
    <row r="67" spans="3:24" x14ac:dyDescent="0.25">
      <c r="D67" s="47" t="s">
        <v>303</v>
      </c>
      <c r="E67" s="42" t="s">
        <v>304</v>
      </c>
      <c r="F67" s="44" t="s">
        <v>11</v>
      </c>
      <c r="M67" s="47" t="s">
        <v>303</v>
      </c>
      <c r="N67" s="42" t="s">
        <v>304</v>
      </c>
      <c r="O67" s="44" t="s">
        <v>11</v>
      </c>
      <c r="V67" s="47" t="s">
        <v>303</v>
      </c>
      <c r="W67" s="42" t="s">
        <v>304</v>
      </c>
      <c r="X67" s="44" t="s">
        <v>11</v>
      </c>
    </row>
    <row r="68" spans="3:24" x14ac:dyDescent="0.25">
      <c r="D68" s="47" t="s">
        <v>305</v>
      </c>
      <c r="E68" s="42" t="s">
        <v>283</v>
      </c>
      <c r="F68" s="44" t="s">
        <v>11</v>
      </c>
      <c r="M68" s="47" t="s">
        <v>305</v>
      </c>
      <c r="N68" s="42" t="s">
        <v>283</v>
      </c>
      <c r="O68" s="44" t="s">
        <v>11</v>
      </c>
      <c r="V68" s="47" t="s">
        <v>305</v>
      </c>
      <c r="W68" s="42" t="s">
        <v>283</v>
      </c>
      <c r="X68" s="44" t="s">
        <v>11</v>
      </c>
    </row>
    <row r="69" spans="3:24" x14ac:dyDescent="0.25">
      <c r="D69" s="85" t="s">
        <v>307</v>
      </c>
      <c r="E69" s="42" t="s">
        <v>306</v>
      </c>
      <c r="F69" s="44" t="s">
        <v>11</v>
      </c>
      <c r="M69" s="85" t="s">
        <v>307</v>
      </c>
      <c r="N69" s="42" t="s">
        <v>306</v>
      </c>
      <c r="O69" s="44" t="s">
        <v>11</v>
      </c>
      <c r="V69" s="85" t="s">
        <v>307</v>
      </c>
      <c r="W69" s="42" t="s">
        <v>306</v>
      </c>
      <c r="X69" s="1" t="s">
        <v>9</v>
      </c>
    </row>
    <row r="70" spans="3:24" x14ac:dyDescent="0.25">
      <c r="D70" s="85"/>
      <c r="E70" s="42" t="s">
        <v>308</v>
      </c>
      <c r="F70" s="44" t="s">
        <v>11</v>
      </c>
      <c r="M70" s="85"/>
      <c r="N70" s="42" t="s">
        <v>308</v>
      </c>
      <c r="O70" s="44" t="s">
        <v>11</v>
      </c>
      <c r="V70" s="85"/>
      <c r="W70" s="42" t="s">
        <v>308</v>
      </c>
      <c r="X70" s="1" t="s">
        <v>9</v>
      </c>
    </row>
    <row r="71" spans="3:24" x14ac:dyDescent="0.25">
      <c r="D71" s="85" t="s">
        <v>309</v>
      </c>
      <c r="E71" s="42" t="s">
        <v>285</v>
      </c>
      <c r="F71" s="44" t="s">
        <v>11</v>
      </c>
      <c r="M71" s="85" t="s">
        <v>309</v>
      </c>
      <c r="N71" s="42" t="s">
        <v>285</v>
      </c>
      <c r="O71" s="44" t="s">
        <v>11</v>
      </c>
      <c r="V71" s="85" t="s">
        <v>309</v>
      </c>
      <c r="W71" s="42" t="s">
        <v>285</v>
      </c>
      <c r="X71" s="1" t="s">
        <v>9</v>
      </c>
    </row>
    <row r="72" spans="3:24" x14ac:dyDescent="0.25">
      <c r="D72" s="85"/>
      <c r="E72" s="42" t="s">
        <v>287</v>
      </c>
      <c r="F72" s="44" t="s">
        <v>11</v>
      </c>
      <c r="M72" s="85"/>
      <c r="N72" s="42" t="s">
        <v>287</v>
      </c>
      <c r="O72" s="44" t="s">
        <v>11</v>
      </c>
      <c r="V72" s="85"/>
      <c r="W72" s="42" t="s">
        <v>287</v>
      </c>
      <c r="X72" s="1" t="s">
        <v>9</v>
      </c>
    </row>
    <row r="73" spans="3:24" x14ac:dyDescent="0.25">
      <c r="D73" s="85" t="s">
        <v>281</v>
      </c>
      <c r="E73" s="42" t="s">
        <v>285</v>
      </c>
      <c r="F73" s="44" t="s">
        <v>11</v>
      </c>
      <c r="M73" s="85" t="s">
        <v>281</v>
      </c>
      <c r="N73" s="42" t="s">
        <v>285</v>
      </c>
      <c r="O73" s="44" t="s">
        <v>11</v>
      </c>
      <c r="V73" s="85" t="s">
        <v>281</v>
      </c>
      <c r="W73" s="42" t="s">
        <v>285</v>
      </c>
      <c r="X73" s="1" t="s">
        <v>9</v>
      </c>
    </row>
    <row r="74" spans="3:24" x14ac:dyDescent="0.25">
      <c r="D74" s="85"/>
      <c r="E74" s="42" t="s">
        <v>286</v>
      </c>
      <c r="F74" s="44" t="s">
        <v>11</v>
      </c>
      <c r="M74" s="85"/>
      <c r="N74" s="42" t="s">
        <v>286</v>
      </c>
      <c r="O74" s="44" t="s">
        <v>11</v>
      </c>
      <c r="V74" s="85"/>
      <c r="W74" s="42" t="s">
        <v>286</v>
      </c>
      <c r="X74" s="1" t="s">
        <v>9</v>
      </c>
    </row>
    <row r="75" spans="3:24" x14ac:dyDescent="0.25">
      <c r="D75" s="85"/>
      <c r="E75" s="42" t="s">
        <v>294</v>
      </c>
      <c r="F75" s="44" t="s">
        <v>11</v>
      </c>
      <c r="M75" s="85"/>
      <c r="N75" s="42" t="s">
        <v>294</v>
      </c>
      <c r="O75" s="44" t="s">
        <v>11</v>
      </c>
      <c r="V75" s="85"/>
      <c r="W75" s="42" t="s">
        <v>294</v>
      </c>
      <c r="X75" s="1" t="s">
        <v>9</v>
      </c>
    </row>
    <row r="76" spans="3:24" x14ac:dyDescent="0.25">
      <c r="D76" s="85"/>
      <c r="E76" s="42" t="s">
        <v>287</v>
      </c>
      <c r="F76" s="44" t="s">
        <v>11</v>
      </c>
      <c r="M76" s="85"/>
      <c r="N76" s="42" t="s">
        <v>287</v>
      </c>
      <c r="O76" s="44" t="s">
        <v>11</v>
      </c>
      <c r="V76" s="85"/>
      <c r="W76" s="42" t="s">
        <v>287</v>
      </c>
      <c r="X76" s="1" t="s">
        <v>9</v>
      </c>
    </row>
    <row r="77" spans="3:24" x14ac:dyDescent="0.25">
      <c r="D77" s="85"/>
      <c r="E77" s="42" t="s">
        <v>314</v>
      </c>
      <c r="F77" s="44" t="s">
        <v>11</v>
      </c>
      <c r="M77" s="85"/>
      <c r="N77" s="42" t="s">
        <v>314</v>
      </c>
      <c r="O77" s="44" t="s">
        <v>11</v>
      </c>
      <c r="V77" s="85"/>
      <c r="W77" s="42" t="s">
        <v>314</v>
      </c>
      <c r="X77" s="1" t="s">
        <v>9</v>
      </c>
    </row>
    <row r="78" spans="3:24" x14ac:dyDescent="0.25">
      <c r="D78" s="85"/>
      <c r="E78" s="42" t="s">
        <v>296</v>
      </c>
      <c r="F78" s="44" t="s">
        <v>11</v>
      </c>
      <c r="M78" s="85"/>
      <c r="N78" s="42" t="s">
        <v>296</v>
      </c>
      <c r="O78" s="44" t="s">
        <v>11</v>
      </c>
      <c r="V78" s="85"/>
      <c r="W78" s="42" t="s">
        <v>296</v>
      </c>
      <c r="X78" s="1" t="s">
        <v>9</v>
      </c>
    </row>
    <row r="79" spans="3:24" x14ac:dyDescent="0.25">
      <c r="D79" s="85"/>
      <c r="E79" s="42" t="s">
        <v>297</v>
      </c>
      <c r="F79" s="44" t="s">
        <v>11</v>
      </c>
      <c r="M79" s="85"/>
      <c r="N79" s="42" t="s">
        <v>297</v>
      </c>
      <c r="O79" s="44" t="s">
        <v>11</v>
      </c>
      <c r="V79" s="85"/>
      <c r="W79" s="42" t="s">
        <v>297</v>
      </c>
      <c r="X79" s="1" t="s">
        <v>9</v>
      </c>
    </row>
    <row r="80" spans="3:24" x14ac:dyDescent="0.25">
      <c r="D80" s="85"/>
      <c r="E80" s="42" t="s">
        <v>298</v>
      </c>
      <c r="F80" s="44" t="s">
        <v>11</v>
      </c>
      <c r="M80" s="85"/>
      <c r="N80" s="42" t="s">
        <v>298</v>
      </c>
      <c r="O80" s="44" t="s">
        <v>11</v>
      </c>
      <c r="V80" s="85"/>
      <c r="W80" s="42" t="s">
        <v>298</v>
      </c>
      <c r="X80" s="1" t="s">
        <v>9</v>
      </c>
    </row>
    <row r="81" spans="4:24" x14ac:dyDescent="0.25">
      <c r="D81" s="85"/>
      <c r="E81" s="42" t="s">
        <v>288</v>
      </c>
      <c r="F81" s="44" t="s">
        <v>11</v>
      </c>
      <c r="M81" s="85"/>
      <c r="N81" s="42" t="s">
        <v>288</v>
      </c>
      <c r="O81" s="44" t="s">
        <v>11</v>
      </c>
      <c r="V81" s="85"/>
      <c r="W81" s="42" t="s">
        <v>288</v>
      </c>
      <c r="X81" s="1" t="s">
        <v>9</v>
      </c>
    </row>
    <row r="82" spans="4:24" x14ac:dyDescent="0.25">
      <c r="D82" s="85"/>
      <c r="E82" s="42" t="s">
        <v>289</v>
      </c>
      <c r="F82" s="44" t="s">
        <v>11</v>
      </c>
      <c r="M82" s="85"/>
      <c r="N82" s="42" t="s">
        <v>289</v>
      </c>
      <c r="O82" s="44" t="s">
        <v>11</v>
      </c>
      <c r="V82" s="85"/>
      <c r="W82" s="42" t="s">
        <v>289</v>
      </c>
      <c r="X82" s="1" t="s">
        <v>9</v>
      </c>
    </row>
    <row r="83" spans="4:24" x14ac:dyDescent="0.25">
      <c r="D83" s="85"/>
      <c r="E83" s="42" t="s">
        <v>295</v>
      </c>
      <c r="F83" s="44" t="s">
        <v>11</v>
      </c>
      <c r="M83" s="85"/>
      <c r="N83" s="42" t="s">
        <v>295</v>
      </c>
      <c r="O83" s="44" t="s">
        <v>11</v>
      </c>
      <c r="V83" s="85"/>
      <c r="W83" s="42" t="s">
        <v>295</v>
      </c>
      <c r="X83" s="1" t="s">
        <v>9</v>
      </c>
    </row>
    <row r="84" spans="4:24" x14ac:dyDescent="0.25">
      <c r="D84" s="85"/>
      <c r="E84" s="42" t="s">
        <v>290</v>
      </c>
      <c r="F84" s="44" t="s">
        <v>11</v>
      </c>
      <c r="M84" s="85"/>
      <c r="N84" s="42" t="s">
        <v>290</v>
      </c>
      <c r="O84" s="44" t="s">
        <v>11</v>
      </c>
      <c r="V84" s="85"/>
      <c r="W84" s="42" t="s">
        <v>290</v>
      </c>
      <c r="X84" s="1" t="s">
        <v>9</v>
      </c>
    </row>
    <row r="85" spans="4:24" x14ac:dyDescent="0.25">
      <c r="D85" s="85" t="s">
        <v>310</v>
      </c>
      <c r="E85" s="42" t="s">
        <v>292</v>
      </c>
      <c r="F85" s="1" t="s">
        <v>9</v>
      </c>
      <c r="M85" s="85" t="s">
        <v>310</v>
      </c>
      <c r="N85" s="42" t="s">
        <v>292</v>
      </c>
      <c r="O85" s="44" t="s">
        <v>11</v>
      </c>
      <c r="V85" s="85" t="s">
        <v>310</v>
      </c>
      <c r="W85" s="42" t="s">
        <v>292</v>
      </c>
      <c r="X85" s="44" t="s">
        <v>11</v>
      </c>
    </row>
    <row r="86" spans="4:24" x14ac:dyDescent="0.25">
      <c r="D86" s="85"/>
      <c r="E86" s="42" t="s">
        <v>299</v>
      </c>
      <c r="F86" s="1" t="s">
        <v>9</v>
      </c>
      <c r="M86" s="85"/>
      <c r="N86" s="42" t="s">
        <v>299</v>
      </c>
      <c r="O86" s="44" t="s">
        <v>11</v>
      </c>
      <c r="V86" s="85"/>
      <c r="W86" s="42" t="s">
        <v>299</v>
      </c>
      <c r="X86" s="44" t="s">
        <v>11</v>
      </c>
    </row>
    <row r="87" spans="4:24" x14ac:dyDescent="0.25">
      <c r="D87" s="85" t="s">
        <v>311</v>
      </c>
      <c r="E87" s="42" t="s">
        <v>291</v>
      </c>
      <c r="F87" s="1" t="s">
        <v>9</v>
      </c>
      <c r="M87" s="85" t="s">
        <v>311</v>
      </c>
      <c r="N87" s="42" t="s">
        <v>291</v>
      </c>
      <c r="O87" s="44" t="s">
        <v>11</v>
      </c>
      <c r="V87" s="85" t="s">
        <v>311</v>
      </c>
      <c r="W87" s="42" t="s">
        <v>291</v>
      </c>
      <c r="X87" s="44" t="s">
        <v>11</v>
      </c>
    </row>
    <row r="88" spans="4:24" x14ac:dyDescent="0.25">
      <c r="D88" s="85"/>
      <c r="E88" s="42" t="s">
        <v>293</v>
      </c>
      <c r="F88" s="1" t="s">
        <v>9</v>
      </c>
      <c r="M88" s="85"/>
      <c r="N88" s="42" t="s">
        <v>293</v>
      </c>
      <c r="O88" s="44" t="s">
        <v>11</v>
      </c>
      <c r="V88" s="85"/>
      <c r="W88" s="42" t="s">
        <v>293</v>
      </c>
      <c r="X88" s="44" t="s">
        <v>11</v>
      </c>
    </row>
    <row r="89" spans="4:24" x14ac:dyDescent="0.25">
      <c r="D89" s="85"/>
      <c r="E89" s="42" t="s">
        <v>289</v>
      </c>
      <c r="F89" s="1" t="s">
        <v>9</v>
      </c>
      <c r="M89" s="85"/>
      <c r="N89" s="42" t="s">
        <v>289</v>
      </c>
      <c r="O89" s="44" t="s">
        <v>11</v>
      </c>
      <c r="V89" s="85"/>
      <c r="W89" s="42" t="s">
        <v>289</v>
      </c>
      <c r="X89" s="44" t="s">
        <v>11</v>
      </c>
    </row>
    <row r="90" spans="4:24" x14ac:dyDescent="0.25">
      <c r="D90" s="85"/>
      <c r="E90" s="42" t="s">
        <v>295</v>
      </c>
      <c r="F90" s="1" t="s">
        <v>9</v>
      </c>
      <c r="M90" s="85"/>
      <c r="N90" s="42" t="s">
        <v>295</v>
      </c>
      <c r="O90" s="44" t="s">
        <v>11</v>
      </c>
      <c r="V90" s="85"/>
      <c r="W90" s="42" t="s">
        <v>295</v>
      </c>
      <c r="X90" s="44" t="s">
        <v>11</v>
      </c>
    </row>
    <row r="91" spans="4:24" x14ac:dyDescent="0.25">
      <c r="D91" s="85"/>
      <c r="E91" s="42" t="s">
        <v>288</v>
      </c>
      <c r="F91" s="1" t="s">
        <v>9</v>
      </c>
      <c r="M91" s="85"/>
      <c r="N91" s="42" t="s">
        <v>288</v>
      </c>
      <c r="O91" s="44" t="s">
        <v>11</v>
      </c>
      <c r="V91" s="85"/>
      <c r="W91" s="42" t="s">
        <v>288</v>
      </c>
      <c r="X91" s="44" t="s">
        <v>11</v>
      </c>
    </row>
    <row r="92" spans="4:24" x14ac:dyDescent="0.25">
      <c r="D92" s="85"/>
      <c r="E92" s="42" t="s">
        <v>290</v>
      </c>
      <c r="F92" s="1" t="s">
        <v>9</v>
      </c>
      <c r="M92" s="85"/>
      <c r="N92" s="42" t="s">
        <v>290</v>
      </c>
      <c r="O92" s="44" t="s">
        <v>11</v>
      </c>
      <c r="V92" s="85"/>
      <c r="W92" s="42" t="s">
        <v>290</v>
      </c>
      <c r="X92" s="44" t="s">
        <v>11</v>
      </c>
    </row>
    <row r="93" spans="4:24" x14ac:dyDescent="0.25">
      <c r="D93" s="47" t="s">
        <v>300</v>
      </c>
      <c r="E93" s="43" t="s">
        <v>6</v>
      </c>
      <c r="F93" s="1" t="s">
        <v>9</v>
      </c>
      <c r="M93" s="47" t="s">
        <v>300</v>
      </c>
      <c r="N93" s="43" t="s">
        <v>6</v>
      </c>
      <c r="O93" s="44" t="s">
        <v>11</v>
      </c>
      <c r="V93" s="47" t="s">
        <v>300</v>
      </c>
      <c r="W93" s="43" t="s">
        <v>6</v>
      </c>
      <c r="X93" s="44" t="s">
        <v>11</v>
      </c>
    </row>
    <row r="94" spans="4:24" x14ac:dyDescent="0.25">
      <c r="D94" s="47" t="s">
        <v>301</v>
      </c>
      <c r="E94" s="43" t="s">
        <v>6</v>
      </c>
      <c r="F94" s="1" t="s">
        <v>9</v>
      </c>
      <c r="M94" s="47" t="s">
        <v>301</v>
      </c>
      <c r="N94" s="43" t="s">
        <v>6</v>
      </c>
      <c r="O94" s="44" t="s">
        <v>11</v>
      </c>
      <c r="V94" s="47" t="s">
        <v>301</v>
      </c>
      <c r="W94" s="43" t="s">
        <v>6</v>
      </c>
      <c r="X94" s="44" t="s">
        <v>11</v>
      </c>
    </row>
    <row r="95" spans="4:24" x14ac:dyDescent="0.25">
      <c r="D95" s="48" t="s">
        <v>5</v>
      </c>
      <c r="E95" s="43" t="s">
        <v>6</v>
      </c>
      <c r="F95" s="1" t="s">
        <v>9</v>
      </c>
      <c r="M95" s="48" t="s">
        <v>5</v>
      </c>
      <c r="N95" s="43" t="s">
        <v>6</v>
      </c>
      <c r="O95" s="44" t="s">
        <v>11</v>
      </c>
      <c r="V95" s="48" t="s">
        <v>5</v>
      </c>
      <c r="W95" s="43" t="s">
        <v>6</v>
      </c>
      <c r="X95" s="44" t="s">
        <v>11</v>
      </c>
    </row>
    <row r="96" spans="4:24" x14ac:dyDescent="0.25">
      <c r="D96" s="85" t="s">
        <v>312</v>
      </c>
      <c r="E96" s="43" t="s">
        <v>285</v>
      </c>
      <c r="F96" s="1" t="s">
        <v>9</v>
      </c>
      <c r="M96" s="85" t="s">
        <v>312</v>
      </c>
      <c r="N96" s="43" t="s">
        <v>285</v>
      </c>
      <c r="O96" s="1" t="s">
        <v>9</v>
      </c>
      <c r="V96" s="85" t="s">
        <v>312</v>
      </c>
      <c r="W96" s="43" t="s">
        <v>285</v>
      </c>
      <c r="X96" s="44" t="s">
        <v>11</v>
      </c>
    </row>
    <row r="97" spans="4:24" x14ac:dyDescent="0.25">
      <c r="D97" s="85"/>
      <c r="E97" s="43" t="s">
        <v>294</v>
      </c>
      <c r="F97" s="1" t="s">
        <v>9</v>
      </c>
      <c r="M97" s="85"/>
      <c r="N97" s="43" t="s">
        <v>294</v>
      </c>
      <c r="O97" s="1" t="s">
        <v>9</v>
      </c>
      <c r="V97" s="85"/>
      <c r="W97" s="43" t="s">
        <v>294</v>
      </c>
      <c r="X97" s="44" t="s">
        <v>11</v>
      </c>
    </row>
    <row r="98" spans="4:24" x14ac:dyDescent="0.25">
      <c r="D98" s="85"/>
      <c r="E98" s="43" t="s">
        <v>314</v>
      </c>
      <c r="F98" s="1" t="s">
        <v>9</v>
      </c>
      <c r="M98" s="85"/>
      <c r="N98" s="43" t="s">
        <v>314</v>
      </c>
      <c r="O98" s="1" t="s">
        <v>9</v>
      </c>
      <c r="V98" s="85"/>
      <c r="W98" s="43" t="s">
        <v>314</v>
      </c>
      <c r="X98" s="44" t="s">
        <v>11</v>
      </c>
    </row>
    <row r="99" spans="4:24" x14ac:dyDescent="0.25">
      <c r="D99" s="85"/>
      <c r="E99" s="43" t="s">
        <v>297</v>
      </c>
      <c r="F99" s="1" t="s">
        <v>9</v>
      </c>
      <c r="M99" s="85"/>
      <c r="N99" s="43" t="s">
        <v>297</v>
      </c>
      <c r="O99" s="1" t="s">
        <v>9</v>
      </c>
      <c r="V99" s="85"/>
      <c r="W99" s="43" t="s">
        <v>297</v>
      </c>
      <c r="X99" s="44" t="s">
        <v>11</v>
      </c>
    </row>
    <row r="100" spans="4:24" x14ac:dyDescent="0.25">
      <c r="D100" s="85"/>
      <c r="E100" s="43" t="s">
        <v>288</v>
      </c>
      <c r="F100" s="1" t="s">
        <v>9</v>
      </c>
      <c r="M100" s="85"/>
      <c r="N100" s="43" t="s">
        <v>288</v>
      </c>
      <c r="O100" s="1" t="s">
        <v>9</v>
      </c>
      <c r="V100" s="85"/>
      <c r="W100" s="43" t="s">
        <v>288</v>
      </c>
      <c r="X100" s="44" t="s">
        <v>11</v>
      </c>
    </row>
    <row r="101" spans="4:24" x14ac:dyDescent="0.25">
      <c r="D101" s="85"/>
      <c r="E101" s="43" t="s">
        <v>295</v>
      </c>
      <c r="F101" s="1" t="s">
        <v>9</v>
      </c>
      <c r="M101" s="85"/>
      <c r="N101" s="43" t="s">
        <v>295</v>
      </c>
      <c r="O101" s="1" t="s">
        <v>9</v>
      </c>
      <c r="V101" s="85"/>
      <c r="W101" s="43" t="s">
        <v>295</v>
      </c>
      <c r="X101" s="44" t="s">
        <v>11</v>
      </c>
    </row>
    <row r="102" spans="4:24" x14ac:dyDescent="0.25">
      <c r="D102" s="85" t="s">
        <v>313</v>
      </c>
      <c r="E102" s="43" t="s">
        <v>285</v>
      </c>
      <c r="F102" s="1" t="s">
        <v>9</v>
      </c>
      <c r="M102" s="85" t="s">
        <v>313</v>
      </c>
      <c r="N102" s="43" t="s">
        <v>285</v>
      </c>
      <c r="O102" s="1" t="s">
        <v>9</v>
      </c>
      <c r="V102" s="85" t="s">
        <v>313</v>
      </c>
      <c r="W102" s="43" t="s">
        <v>285</v>
      </c>
      <c r="X102" s="44" t="s">
        <v>11</v>
      </c>
    </row>
    <row r="103" spans="4:24" x14ac:dyDescent="0.25">
      <c r="D103" s="85"/>
      <c r="E103" s="43" t="s">
        <v>294</v>
      </c>
      <c r="F103" s="1" t="s">
        <v>9</v>
      </c>
      <c r="M103" s="85"/>
      <c r="N103" s="43" t="s">
        <v>294</v>
      </c>
      <c r="O103" s="1" t="s">
        <v>9</v>
      </c>
      <c r="V103" s="85"/>
      <c r="W103" s="43" t="s">
        <v>294</v>
      </c>
      <c r="X103" s="44" t="s">
        <v>11</v>
      </c>
    </row>
  </sheetData>
  <mergeCells count="78">
    <mergeCell ref="D96:D101"/>
    <mergeCell ref="D52:D57"/>
    <mergeCell ref="D102:D103"/>
    <mergeCell ref="F20:H20"/>
    <mergeCell ref="I20:K20"/>
    <mergeCell ref="D69:D70"/>
    <mergeCell ref="F21:H21"/>
    <mergeCell ref="I21:K21"/>
    <mergeCell ref="D22:E22"/>
    <mergeCell ref="D71:D72"/>
    <mergeCell ref="D73:D84"/>
    <mergeCell ref="D36:D43"/>
    <mergeCell ref="D85:D86"/>
    <mergeCell ref="D87:D92"/>
    <mergeCell ref="D44:D47"/>
    <mergeCell ref="D58:D59"/>
    <mergeCell ref="O16:T16"/>
    <mergeCell ref="M17:M18"/>
    <mergeCell ref="O17:Q17"/>
    <mergeCell ref="R17:T17"/>
    <mergeCell ref="O18:Q18"/>
    <mergeCell ref="D17:D18"/>
    <mergeCell ref="F17:H17"/>
    <mergeCell ref="I17:K17"/>
    <mergeCell ref="M16:N16"/>
    <mergeCell ref="D24:D35"/>
    <mergeCell ref="D16:E16"/>
    <mergeCell ref="F16:K16"/>
    <mergeCell ref="F18:H18"/>
    <mergeCell ref="I18:K18"/>
    <mergeCell ref="F19:H19"/>
    <mergeCell ref="I19:K19"/>
    <mergeCell ref="M58:M59"/>
    <mergeCell ref="R18:T18"/>
    <mergeCell ref="O19:Q19"/>
    <mergeCell ref="R19:T19"/>
    <mergeCell ref="O20:Q20"/>
    <mergeCell ref="R20:T20"/>
    <mergeCell ref="O21:Q21"/>
    <mergeCell ref="R21:T21"/>
    <mergeCell ref="M22:N22"/>
    <mergeCell ref="M24:M35"/>
    <mergeCell ref="M36:M43"/>
    <mergeCell ref="M44:M47"/>
    <mergeCell ref="M52:M57"/>
    <mergeCell ref="M102:M103"/>
    <mergeCell ref="V16:W16"/>
    <mergeCell ref="X16:AC16"/>
    <mergeCell ref="V17:V18"/>
    <mergeCell ref="X17:Z17"/>
    <mergeCell ref="AA17:AC17"/>
    <mergeCell ref="X18:Z18"/>
    <mergeCell ref="AA18:AC18"/>
    <mergeCell ref="X19:Z19"/>
    <mergeCell ref="AA19:AC19"/>
    <mergeCell ref="M69:M70"/>
    <mergeCell ref="M71:M72"/>
    <mergeCell ref="M73:M84"/>
    <mergeCell ref="M85:M86"/>
    <mergeCell ref="M87:M92"/>
    <mergeCell ref="M96:M101"/>
    <mergeCell ref="V71:V72"/>
    <mergeCell ref="X20:Z20"/>
    <mergeCell ref="AA20:AC20"/>
    <mergeCell ref="X21:Z21"/>
    <mergeCell ref="AA21:AC21"/>
    <mergeCell ref="V22:W22"/>
    <mergeCell ref="V24:V35"/>
    <mergeCell ref="V36:V43"/>
    <mergeCell ref="V44:V47"/>
    <mergeCell ref="V52:V57"/>
    <mergeCell ref="V58:V59"/>
    <mergeCell ref="V69:V70"/>
    <mergeCell ref="V73:V84"/>
    <mergeCell ref="V85:V86"/>
    <mergeCell ref="V87:V92"/>
    <mergeCell ref="V96:V101"/>
    <mergeCell ref="V102:V103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37"/>
  <sheetViews>
    <sheetView workbookViewId="0">
      <pane xSplit="2" ySplit="1" topLeftCell="C2" activePane="bottomRight" state="frozen"/>
      <selection activeCell="C46" sqref="C46"/>
      <selection pane="topRight" activeCell="C46" sqref="C46"/>
      <selection pane="bottomLeft" activeCell="C46" sqref="C46"/>
      <selection pane="bottomRight" activeCell="C46" sqref="C46"/>
    </sheetView>
  </sheetViews>
  <sheetFormatPr baseColWidth="10" defaultColWidth="10.85546875" defaultRowHeight="15" x14ac:dyDescent="0.25"/>
  <cols>
    <col min="1" max="1" width="13.140625" style="20" customWidth="1"/>
    <col min="2" max="2" width="59.85546875" style="21" customWidth="1"/>
    <col min="3" max="3" width="27.28515625" style="13" customWidth="1"/>
    <col min="4" max="6" width="6.7109375" style="17" customWidth="1"/>
    <col min="7" max="7" width="6.7109375" style="39" customWidth="1"/>
    <col min="8" max="13" width="6.7109375" style="17" customWidth="1"/>
    <col min="14" max="14" width="1.42578125" style="7" customWidth="1"/>
    <col min="15" max="17" width="6.7109375" style="40" customWidth="1"/>
    <col min="18" max="18" width="6.7109375" style="41" customWidth="1"/>
    <col min="19" max="20" width="6.7109375" style="40" customWidth="1"/>
    <col min="21" max="21" width="6.7109375" style="41" customWidth="1"/>
    <col min="22" max="24" width="6.7109375" style="40" customWidth="1"/>
    <col min="25" max="25" width="1.42578125" style="7" customWidth="1"/>
    <col min="26" max="26" width="5.28515625" style="17" customWidth="1"/>
    <col min="27" max="27" width="6.7109375" style="17" customWidth="1"/>
    <col min="28" max="28" width="8" style="17" customWidth="1"/>
  </cols>
  <sheetData>
    <row r="1" spans="1:39" s="4" customFormat="1" ht="84" customHeight="1" x14ac:dyDescent="0.25">
      <c r="A1" s="101" t="s">
        <v>12</v>
      </c>
      <c r="B1" s="101"/>
      <c r="C1" s="4" t="s">
        <v>13</v>
      </c>
      <c r="D1" s="5" t="s">
        <v>14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7"/>
      <c r="O1" s="8" t="s">
        <v>24</v>
      </c>
      <c r="P1" s="8" t="s">
        <v>25</v>
      </c>
      <c r="Q1" s="8" t="s">
        <v>26</v>
      </c>
      <c r="R1" s="9" t="s">
        <v>27</v>
      </c>
      <c r="S1" s="8" t="s">
        <v>28</v>
      </c>
      <c r="T1" s="8" t="s">
        <v>29</v>
      </c>
      <c r="U1" s="9" t="s">
        <v>30</v>
      </c>
      <c r="V1" s="8" t="s">
        <v>31</v>
      </c>
      <c r="W1" s="8" t="s">
        <v>32</v>
      </c>
      <c r="X1" s="8" t="s">
        <v>33</v>
      </c>
      <c r="Y1" s="7"/>
      <c r="Z1" s="5" t="s">
        <v>34</v>
      </c>
      <c r="AA1" s="5" t="s">
        <v>35</v>
      </c>
      <c r="AB1" s="5"/>
      <c r="AC1" s="10" t="s">
        <v>36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x14ac:dyDescent="0.25">
      <c r="A2" s="11">
        <v>1</v>
      </c>
      <c r="B2" s="12" t="s">
        <v>37</v>
      </c>
      <c r="D2" s="14"/>
      <c r="E2" s="14"/>
      <c r="F2" s="14"/>
      <c r="G2" s="15"/>
      <c r="H2" s="14"/>
      <c r="I2" s="14"/>
      <c r="J2" s="14"/>
      <c r="K2" s="14"/>
      <c r="L2" s="14"/>
      <c r="M2" s="14"/>
      <c r="N2" s="16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39" x14ac:dyDescent="0.25">
      <c r="A3" s="18" t="s">
        <v>38</v>
      </c>
      <c r="B3" s="19" t="s">
        <v>39</v>
      </c>
      <c r="D3" s="14"/>
      <c r="E3" s="14"/>
      <c r="F3" s="14"/>
      <c r="G3" s="15"/>
      <c r="H3" s="14"/>
      <c r="I3" s="14"/>
      <c r="J3" s="14"/>
      <c r="K3" s="14"/>
      <c r="L3" s="14"/>
      <c r="M3" s="14"/>
      <c r="N3" s="16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39" x14ac:dyDescent="0.25">
      <c r="A4" s="20" t="s">
        <v>40</v>
      </c>
      <c r="B4" s="21" t="s">
        <v>41</v>
      </c>
      <c r="D4" s="22" t="s">
        <v>42</v>
      </c>
      <c r="E4" s="22" t="s">
        <v>42</v>
      </c>
      <c r="F4" s="22" t="s">
        <v>42</v>
      </c>
      <c r="G4" s="23" t="s">
        <v>42</v>
      </c>
      <c r="H4" s="22" t="s">
        <v>42</v>
      </c>
      <c r="I4" s="22" t="s">
        <v>42</v>
      </c>
      <c r="J4" s="22" t="s">
        <v>42</v>
      </c>
      <c r="K4" s="22" t="s">
        <v>42</v>
      </c>
      <c r="L4" s="22" t="s">
        <v>42</v>
      </c>
      <c r="M4" s="22" t="s">
        <v>42</v>
      </c>
      <c r="N4" s="24"/>
      <c r="O4" s="23" t="s">
        <v>42</v>
      </c>
      <c r="P4" s="23" t="s">
        <v>42</v>
      </c>
      <c r="Q4" s="23" t="s">
        <v>42</v>
      </c>
      <c r="R4" s="23" t="s">
        <v>42</v>
      </c>
      <c r="S4" s="23" t="s">
        <v>42</v>
      </c>
      <c r="T4" s="23" t="s">
        <v>42</v>
      </c>
      <c r="U4" s="23" t="s">
        <v>42</v>
      </c>
      <c r="V4" s="23" t="s">
        <v>42</v>
      </c>
      <c r="W4" s="23" t="s">
        <v>42</v>
      </c>
      <c r="X4" s="23" t="s">
        <v>42</v>
      </c>
      <c r="Y4" s="25"/>
      <c r="Z4" s="26" t="s">
        <v>42</v>
      </c>
      <c r="AA4" s="26" t="s">
        <v>42</v>
      </c>
      <c r="AC4" t="s">
        <v>749</v>
      </c>
    </row>
    <row r="5" spans="1:39" x14ac:dyDescent="0.25">
      <c r="A5" s="20" t="s">
        <v>43</v>
      </c>
      <c r="B5" s="21" t="s">
        <v>44</v>
      </c>
      <c r="D5" s="22" t="s">
        <v>42</v>
      </c>
      <c r="E5" s="22" t="s">
        <v>42</v>
      </c>
      <c r="F5" s="22" t="s">
        <v>42</v>
      </c>
      <c r="G5" s="23" t="s">
        <v>42</v>
      </c>
      <c r="H5" s="22" t="s">
        <v>42</v>
      </c>
      <c r="I5" s="22" t="s">
        <v>42</v>
      </c>
      <c r="J5" s="22" t="s">
        <v>42</v>
      </c>
      <c r="K5" s="22" t="s">
        <v>42</v>
      </c>
      <c r="L5" s="22" t="s">
        <v>42</v>
      </c>
      <c r="M5" s="22" t="s">
        <v>42</v>
      </c>
      <c r="N5" s="24"/>
      <c r="O5" s="23" t="s">
        <v>42</v>
      </c>
      <c r="P5" s="23" t="s">
        <v>42</v>
      </c>
      <c r="Q5" s="23" t="s">
        <v>42</v>
      </c>
      <c r="R5" s="23" t="s">
        <v>42</v>
      </c>
      <c r="S5" s="23" t="s">
        <v>42</v>
      </c>
      <c r="T5" s="23" t="s">
        <v>42</v>
      </c>
      <c r="U5" s="23" t="s">
        <v>42</v>
      </c>
      <c r="V5" s="23" t="s">
        <v>42</v>
      </c>
      <c r="W5" s="23" t="s">
        <v>42</v>
      </c>
      <c r="X5" s="23" t="s">
        <v>42</v>
      </c>
      <c r="Y5" s="25"/>
      <c r="Z5" s="26" t="s">
        <v>42</v>
      </c>
      <c r="AA5" s="26" t="s">
        <v>42</v>
      </c>
      <c r="AC5" t="s">
        <v>750</v>
      </c>
    </row>
    <row r="6" spans="1:39" x14ac:dyDescent="0.25">
      <c r="A6" s="20" t="s">
        <v>45</v>
      </c>
      <c r="B6" s="21" t="s">
        <v>46</v>
      </c>
      <c r="D6" s="22" t="s">
        <v>42</v>
      </c>
      <c r="E6" s="22" t="s">
        <v>42</v>
      </c>
      <c r="F6" s="22" t="s">
        <v>42</v>
      </c>
      <c r="G6" s="23" t="s">
        <v>42</v>
      </c>
      <c r="H6" s="22" t="s">
        <v>42</v>
      </c>
      <c r="I6" s="22" t="s">
        <v>42</v>
      </c>
      <c r="J6" s="22" t="s">
        <v>42</v>
      </c>
      <c r="K6" s="22" t="s">
        <v>42</v>
      </c>
      <c r="L6" s="22" t="s">
        <v>42</v>
      </c>
      <c r="M6" s="22" t="s">
        <v>42</v>
      </c>
      <c r="N6" s="24"/>
      <c r="O6" s="23" t="s">
        <v>42</v>
      </c>
      <c r="P6" s="23" t="s">
        <v>42</v>
      </c>
      <c r="Q6" s="23" t="s">
        <v>42</v>
      </c>
      <c r="R6" s="23" t="s">
        <v>42</v>
      </c>
      <c r="S6" s="23" t="s">
        <v>42</v>
      </c>
      <c r="T6" s="23" t="s">
        <v>42</v>
      </c>
      <c r="U6" s="23" t="s">
        <v>42</v>
      </c>
      <c r="V6" s="23" t="s">
        <v>42</v>
      </c>
      <c r="W6" s="23" t="s">
        <v>42</v>
      </c>
      <c r="X6" s="23" t="s">
        <v>42</v>
      </c>
      <c r="Y6" s="25"/>
      <c r="Z6" s="26" t="s">
        <v>42</v>
      </c>
      <c r="AA6" s="26" t="s">
        <v>42</v>
      </c>
      <c r="AC6" t="s">
        <v>751</v>
      </c>
    </row>
    <row r="7" spans="1:39" x14ac:dyDescent="0.25">
      <c r="A7" s="20" t="s">
        <v>47</v>
      </c>
      <c r="B7" s="27" t="s">
        <v>48</v>
      </c>
      <c r="D7" s="22" t="s">
        <v>42</v>
      </c>
      <c r="E7" s="22" t="s">
        <v>42</v>
      </c>
      <c r="F7" s="22" t="s">
        <v>42</v>
      </c>
      <c r="G7" s="23" t="s">
        <v>42</v>
      </c>
      <c r="H7" s="22" t="s">
        <v>42</v>
      </c>
      <c r="I7" s="22" t="s">
        <v>42</v>
      </c>
      <c r="J7" s="22" t="s">
        <v>42</v>
      </c>
      <c r="K7" s="22" t="s">
        <v>42</v>
      </c>
      <c r="L7" s="22" t="s">
        <v>42</v>
      </c>
      <c r="M7" s="22" t="s">
        <v>42</v>
      </c>
      <c r="N7" s="24"/>
      <c r="O7" s="23" t="s">
        <v>42</v>
      </c>
      <c r="P7" s="23" t="s">
        <v>42</v>
      </c>
      <c r="Q7" s="23" t="s">
        <v>42</v>
      </c>
      <c r="R7" s="23" t="s">
        <v>42</v>
      </c>
      <c r="S7" s="23" t="s">
        <v>42</v>
      </c>
      <c r="T7" s="23" t="s">
        <v>42</v>
      </c>
      <c r="U7" s="23" t="s">
        <v>42</v>
      </c>
      <c r="V7" s="23" t="s">
        <v>42</v>
      </c>
      <c r="W7" s="23" t="s">
        <v>42</v>
      </c>
      <c r="X7" s="23" t="s">
        <v>42</v>
      </c>
      <c r="Y7" s="25"/>
      <c r="Z7" s="26" t="s">
        <v>42</v>
      </c>
      <c r="AA7" s="26" t="s">
        <v>42</v>
      </c>
      <c r="AC7" t="s">
        <v>752</v>
      </c>
    </row>
    <row r="8" spans="1:39" x14ac:dyDescent="0.25">
      <c r="A8" s="20" t="s">
        <v>49</v>
      </c>
      <c r="B8" s="27" t="s">
        <v>50</v>
      </c>
      <c r="D8" s="22" t="s">
        <v>42</v>
      </c>
      <c r="E8" s="22" t="s">
        <v>42</v>
      </c>
      <c r="F8" s="22" t="s">
        <v>42</v>
      </c>
      <c r="G8" s="23" t="s">
        <v>42</v>
      </c>
      <c r="H8" s="22" t="s">
        <v>42</v>
      </c>
      <c r="I8" s="22" t="s">
        <v>42</v>
      </c>
      <c r="J8" s="22" t="s">
        <v>42</v>
      </c>
      <c r="K8" s="22" t="s">
        <v>42</v>
      </c>
      <c r="L8" s="22" t="s">
        <v>42</v>
      </c>
      <c r="M8" s="22" t="s">
        <v>42</v>
      </c>
      <c r="N8" s="24"/>
      <c r="O8" s="23" t="s">
        <v>42</v>
      </c>
      <c r="P8" s="23" t="s">
        <v>42</v>
      </c>
      <c r="Q8" s="23" t="s">
        <v>42</v>
      </c>
      <c r="R8" s="23" t="s">
        <v>42</v>
      </c>
      <c r="S8" s="23" t="s">
        <v>42</v>
      </c>
      <c r="T8" s="23" t="s">
        <v>42</v>
      </c>
      <c r="U8" s="23" t="s">
        <v>42</v>
      </c>
      <c r="V8" s="23" t="s">
        <v>42</v>
      </c>
      <c r="W8" s="23" t="s">
        <v>42</v>
      </c>
      <c r="X8" s="23" t="s">
        <v>42</v>
      </c>
      <c r="Y8" s="25"/>
      <c r="Z8" s="26" t="s">
        <v>42</v>
      </c>
      <c r="AA8" s="26" t="s">
        <v>42</v>
      </c>
      <c r="AC8" t="s">
        <v>753</v>
      </c>
    </row>
    <row r="9" spans="1:39" x14ac:dyDescent="0.25">
      <c r="A9" s="20" t="s">
        <v>51</v>
      </c>
      <c r="B9" s="27" t="s">
        <v>52</v>
      </c>
      <c r="C9" t="s">
        <v>53</v>
      </c>
      <c r="D9" s="22" t="s">
        <v>42</v>
      </c>
      <c r="E9" s="22" t="s">
        <v>42</v>
      </c>
      <c r="F9" s="22" t="s">
        <v>42</v>
      </c>
      <c r="G9" s="23" t="s">
        <v>42</v>
      </c>
      <c r="H9" s="22" t="s">
        <v>42</v>
      </c>
      <c r="I9" s="22" t="s">
        <v>42</v>
      </c>
      <c r="J9" s="22" t="s">
        <v>42</v>
      </c>
      <c r="K9" s="22" t="s">
        <v>42</v>
      </c>
      <c r="L9" s="22" t="s">
        <v>42</v>
      </c>
      <c r="M9" s="22" t="s">
        <v>42</v>
      </c>
      <c r="N9" s="24"/>
      <c r="O9" s="23" t="s">
        <v>42</v>
      </c>
      <c r="P9" s="23" t="s">
        <v>42</v>
      </c>
      <c r="Q9" s="23" t="s">
        <v>42</v>
      </c>
      <c r="R9" s="23" t="s">
        <v>42</v>
      </c>
      <c r="S9" s="23" t="s">
        <v>42</v>
      </c>
      <c r="T9" s="23" t="s">
        <v>42</v>
      </c>
      <c r="U9" s="23" t="s">
        <v>42</v>
      </c>
      <c r="V9" s="23" t="s">
        <v>42</v>
      </c>
      <c r="W9" s="23" t="s">
        <v>42</v>
      </c>
      <c r="X9" s="23" t="s">
        <v>42</v>
      </c>
      <c r="Y9" s="25"/>
      <c r="Z9" s="26" t="s">
        <v>42</v>
      </c>
      <c r="AA9" s="26" t="s">
        <v>42</v>
      </c>
      <c r="AC9" t="s">
        <v>754</v>
      </c>
    </row>
    <row r="10" spans="1:39" x14ac:dyDescent="0.25">
      <c r="A10" s="20" t="s">
        <v>54</v>
      </c>
      <c r="B10" s="27" t="s">
        <v>55</v>
      </c>
      <c r="D10" s="22" t="s">
        <v>42</v>
      </c>
      <c r="E10" s="22" t="s">
        <v>42</v>
      </c>
      <c r="F10" s="22" t="s">
        <v>42</v>
      </c>
      <c r="G10" s="23" t="s">
        <v>42</v>
      </c>
      <c r="H10" s="22" t="s">
        <v>42</v>
      </c>
      <c r="I10" s="22" t="s">
        <v>42</v>
      </c>
      <c r="J10" s="22" t="s">
        <v>42</v>
      </c>
      <c r="K10" s="22" t="s">
        <v>42</v>
      </c>
      <c r="L10" s="22" t="s">
        <v>42</v>
      </c>
      <c r="M10" s="22" t="s">
        <v>42</v>
      </c>
      <c r="N10" s="24"/>
      <c r="O10" s="23" t="s">
        <v>42</v>
      </c>
      <c r="P10" s="23" t="s">
        <v>42</v>
      </c>
      <c r="Q10" s="23" t="s">
        <v>42</v>
      </c>
      <c r="R10" s="23" t="s">
        <v>42</v>
      </c>
      <c r="S10" s="23" t="s">
        <v>42</v>
      </c>
      <c r="T10" s="23" t="s">
        <v>42</v>
      </c>
      <c r="U10" s="23" t="s">
        <v>42</v>
      </c>
      <c r="V10" s="23" t="s">
        <v>42</v>
      </c>
      <c r="W10" s="23" t="s">
        <v>42</v>
      </c>
      <c r="X10" s="23" t="s">
        <v>42</v>
      </c>
      <c r="Y10" s="25"/>
      <c r="Z10" s="26" t="s">
        <v>42</v>
      </c>
      <c r="AA10" s="26" t="s">
        <v>42</v>
      </c>
      <c r="AC10" t="s">
        <v>755</v>
      </c>
    </row>
    <row r="11" spans="1:39" x14ac:dyDescent="0.25">
      <c r="A11" s="20" t="s">
        <v>56</v>
      </c>
      <c r="B11" s="27" t="s">
        <v>57</v>
      </c>
      <c r="D11" s="22" t="s">
        <v>42</v>
      </c>
      <c r="E11" s="22" t="s">
        <v>42</v>
      </c>
      <c r="F11" s="22" t="s">
        <v>42</v>
      </c>
      <c r="G11" s="23" t="s">
        <v>42</v>
      </c>
      <c r="H11" s="22" t="s">
        <v>42</v>
      </c>
      <c r="I11" s="22" t="s">
        <v>42</v>
      </c>
      <c r="J11" s="22" t="s">
        <v>42</v>
      </c>
      <c r="K11" s="22" t="s">
        <v>42</v>
      </c>
      <c r="L11" s="22" t="s">
        <v>42</v>
      </c>
      <c r="M11" s="22" t="s">
        <v>42</v>
      </c>
      <c r="N11" s="24"/>
      <c r="O11" s="23" t="s">
        <v>42</v>
      </c>
      <c r="P11" s="23" t="s">
        <v>42</v>
      </c>
      <c r="Q11" s="23" t="s">
        <v>42</v>
      </c>
      <c r="R11" s="23" t="s">
        <v>42</v>
      </c>
      <c r="S11" s="23" t="s">
        <v>42</v>
      </c>
      <c r="T11" s="23" t="s">
        <v>42</v>
      </c>
      <c r="U11" s="23" t="s">
        <v>42</v>
      </c>
      <c r="V11" s="23" t="s">
        <v>42</v>
      </c>
      <c r="W11" s="23" t="s">
        <v>42</v>
      </c>
      <c r="X11" s="23" t="s">
        <v>42</v>
      </c>
      <c r="Y11" s="25"/>
      <c r="Z11" s="26" t="s">
        <v>42</v>
      </c>
      <c r="AA11" s="26" t="s">
        <v>42</v>
      </c>
      <c r="AC11" t="s">
        <v>756</v>
      </c>
    </row>
    <row r="12" spans="1:39" x14ac:dyDescent="0.25">
      <c r="A12" s="20" t="s">
        <v>58</v>
      </c>
      <c r="B12" s="21" t="s">
        <v>59</v>
      </c>
      <c r="D12" s="22" t="s">
        <v>42</v>
      </c>
      <c r="E12" s="22" t="s">
        <v>42</v>
      </c>
      <c r="F12" s="22" t="s">
        <v>42</v>
      </c>
      <c r="G12" s="23" t="s">
        <v>42</v>
      </c>
      <c r="H12" s="22" t="s">
        <v>42</v>
      </c>
      <c r="I12" s="22" t="s">
        <v>42</v>
      </c>
      <c r="J12" s="22" t="s">
        <v>42</v>
      </c>
      <c r="K12" s="22" t="s">
        <v>42</v>
      </c>
      <c r="L12" s="22" t="s">
        <v>42</v>
      </c>
      <c r="M12" s="22" t="s">
        <v>42</v>
      </c>
      <c r="N12" s="24"/>
      <c r="O12" s="23" t="s">
        <v>42</v>
      </c>
      <c r="P12" s="23" t="s">
        <v>42</v>
      </c>
      <c r="Q12" s="23" t="s">
        <v>42</v>
      </c>
      <c r="R12" s="23" t="s">
        <v>42</v>
      </c>
      <c r="S12" s="23" t="s">
        <v>42</v>
      </c>
      <c r="T12" s="23" t="s">
        <v>42</v>
      </c>
      <c r="U12" s="23" t="s">
        <v>42</v>
      </c>
      <c r="V12" s="23" t="s">
        <v>42</v>
      </c>
      <c r="W12" s="23" t="s">
        <v>42</v>
      </c>
      <c r="X12" s="23" t="s">
        <v>42</v>
      </c>
      <c r="Y12" s="25"/>
      <c r="Z12" s="26" t="s">
        <v>42</v>
      </c>
      <c r="AA12" s="26" t="s">
        <v>42</v>
      </c>
      <c r="AC12" t="s">
        <v>757</v>
      </c>
    </row>
    <row r="13" spans="1:39" x14ac:dyDescent="0.25">
      <c r="A13" s="20" t="s">
        <v>60</v>
      </c>
      <c r="B13" s="21" t="s">
        <v>61</v>
      </c>
      <c r="D13" s="22" t="s">
        <v>42</v>
      </c>
      <c r="E13" s="22" t="s">
        <v>42</v>
      </c>
      <c r="F13" s="22" t="s">
        <v>42</v>
      </c>
      <c r="G13" s="23" t="s">
        <v>42</v>
      </c>
      <c r="H13" s="22" t="s">
        <v>42</v>
      </c>
      <c r="I13" s="22" t="s">
        <v>42</v>
      </c>
      <c r="J13" s="22" t="s">
        <v>42</v>
      </c>
      <c r="K13" s="22" t="s">
        <v>42</v>
      </c>
      <c r="L13" s="22" t="s">
        <v>42</v>
      </c>
      <c r="M13" s="22" t="s">
        <v>42</v>
      </c>
      <c r="N13" s="24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5"/>
      <c r="Z13" s="26"/>
      <c r="AA13" s="26"/>
      <c r="AC13" t="s">
        <v>758</v>
      </c>
    </row>
    <row r="14" spans="1:39" x14ac:dyDescent="0.25">
      <c r="A14" s="20" t="s">
        <v>62</v>
      </c>
      <c r="B14" s="21" t="s">
        <v>63</v>
      </c>
      <c r="D14" s="22" t="s">
        <v>42</v>
      </c>
      <c r="E14" s="22" t="s">
        <v>42</v>
      </c>
      <c r="F14" s="22" t="s">
        <v>42</v>
      </c>
      <c r="G14" s="23" t="s">
        <v>42</v>
      </c>
      <c r="H14" s="22" t="s">
        <v>42</v>
      </c>
      <c r="I14" s="22" t="s">
        <v>42</v>
      </c>
      <c r="J14" s="22" t="s">
        <v>42</v>
      </c>
      <c r="K14" s="22" t="s">
        <v>42</v>
      </c>
      <c r="L14" s="22" t="s">
        <v>42</v>
      </c>
      <c r="M14" s="22" t="s">
        <v>42</v>
      </c>
      <c r="N14" s="24"/>
      <c r="O14" s="23" t="s">
        <v>42</v>
      </c>
      <c r="P14" s="23" t="s">
        <v>42</v>
      </c>
      <c r="Q14" s="23" t="s">
        <v>42</v>
      </c>
      <c r="R14" s="23" t="s">
        <v>42</v>
      </c>
      <c r="S14" s="23" t="s">
        <v>42</v>
      </c>
      <c r="T14" s="23" t="s">
        <v>42</v>
      </c>
      <c r="U14" s="23" t="s">
        <v>42</v>
      </c>
      <c r="V14" s="23" t="s">
        <v>42</v>
      </c>
      <c r="W14" s="23" t="s">
        <v>42</v>
      </c>
      <c r="X14" s="23" t="s">
        <v>42</v>
      </c>
      <c r="Y14" s="25"/>
      <c r="Z14" s="26" t="s">
        <v>42</v>
      </c>
      <c r="AA14" s="26" t="s">
        <v>42</v>
      </c>
      <c r="AC14" t="s">
        <v>759</v>
      </c>
    </row>
    <row r="15" spans="1:39" x14ac:dyDescent="0.25">
      <c r="A15" s="28" t="s">
        <v>64</v>
      </c>
      <c r="B15" s="21" t="s">
        <v>65</v>
      </c>
      <c r="D15" s="22" t="s">
        <v>42</v>
      </c>
      <c r="E15" s="22" t="s">
        <v>42</v>
      </c>
      <c r="F15" s="22" t="s">
        <v>42</v>
      </c>
      <c r="G15" s="23" t="s">
        <v>42</v>
      </c>
      <c r="H15" s="22" t="s">
        <v>42</v>
      </c>
      <c r="I15" s="22" t="s">
        <v>42</v>
      </c>
      <c r="J15" s="22" t="s">
        <v>42</v>
      </c>
      <c r="K15" s="22" t="s">
        <v>42</v>
      </c>
      <c r="L15" s="22" t="s">
        <v>42</v>
      </c>
      <c r="M15" s="22" t="s">
        <v>42</v>
      </c>
      <c r="N15" s="24"/>
      <c r="O15" s="23" t="s">
        <v>42</v>
      </c>
      <c r="P15" s="23" t="s">
        <v>42</v>
      </c>
      <c r="Q15" s="23" t="s">
        <v>42</v>
      </c>
      <c r="R15" s="23" t="s">
        <v>42</v>
      </c>
      <c r="S15" s="23" t="s">
        <v>42</v>
      </c>
      <c r="T15" s="23" t="s">
        <v>42</v>
      </c>
      <c r="U15" s="23" t="s">
        <v>42</v>
      </c>
      <c r="V15" s="23" t="s">
        <v>42</v>
      </c>
      <c r="W15" s="23" t="s">
        <v>42</v>
      </c>
      <c r="X15" s="23" t="s">
        <v>42</v>
      </c>
      <c r="Y15" s="25"/>
      <c r="Z15" s="26"/>
      <c r="AA15" s="26"/>
      <c r="AC15" t="s">
        <v>760</v>
      </c>
    </row>
    <row r="16" spans="1:39" x14ac:dyDescent="0.25">
      <c r="A16" s="28" t="s">
        <v>66</v>
      </c>
      <c r="B16" s="21" t="s">
        <v>67</v>
      </c>
      <c r="D16" s="22" t="s">
        <v>42</v>
      </c>
      <c r="E16" s="22" t="s">
        <v>42</v>
      </c>
      <c r="F16" s="22" t="s">
        <v>42</v>
      </c>
      <c r="G16" s="23" t="s">
        <v>42</v>
      </c>
      <c r="H16" s="22" t="s">
        <v>42</v>
      </c>
      <c r="I16" s="22" t="s">
        <v>42</v>
      </c>
      <c r="J16" s="22"/>
      <c r="K16" s="22"/>
      <c r="L16" s="22"/>
      <c r="M16" s="22"/>
      <c r="N16" s="24"/>
      <c r="O16" s="23" t="s">
        <v>42</v>
      </c>
      <c r="P16" s="23" t="s">
        <v>42</v>
      </c>
      <c r="Q16" s="23" t="s">
        <v>42</v>
      </c>
      <c r="R16" s="23" t="s">
        <v>42</v>
      </c>
      <c r="S16" s="23" t="s">
        <v>42</v>
      </c>
      <c r="T16" s="23" t="s">
        <v>42</v>
      </c>
      <c r="U16" s="23"/>
      <c r="V16" s="23"/>
      <c r="W16" s="23"/>
      <c r="X16" s="23"/>
      <c r="Y16" s="25"/>
      <c r="Z16" s="26"/>
      <c r="AA16" s="26"/>
      <c r="AC16" t="s">
        <v>761</v>
      </c>
    </row>
    <row r="17" spans="1:41" x14ac:dyDescent="0.25">
      <c r="A17" s="28" t="s">
        <v>68</v>
      </c>
      <c r="B17" s="21" t="s">
        <v>69</v>
      </c>
      <c r="D17" s="22" t="s">
        <v>42</v>
      </c>
      <c r="E17" s="22" t="s">
        <v>42</v>
      </c>
      <c r="F17" s="22" t="s">
        <v>42</v>
      </c>
      <c r="G17" s="23" t="s">
        <v>42</v>
      </c>
      <c r="H17" s="22" t="s">
        <v>42</v>
      </c>
      <c r="I17" s="22" t="s">
        <v>42</v>
      </c>
      <c r="J17" s="22"/>
      <c r="K17" s="22"/>
      <c r="L17" s="22"/>
      <c r="M17" s="22"/>
      <c r="N17" s="24"/>
      <c r="O17" s="23" t="s">
        <v>42</v>
      </c>
      <c r="P17" s="23" t="s">
        <v>42</v>
      </c>
      <c r="Q17" s="23" t="s">
        <v>42</v>
      </c>
      <c r="R17" s="23" t="s">
        <v>42</v>
      </c>
      <c r="S17" s="23" t="s">
        <v>42</v>
      </c>
      <c r="T17" s="23" t="s">
        <v>42</v>
      </c>
      <c r="U17" s="23"/>
      <c r="V17" s="23"/>
      <c r="W17" s="23"/>
      <c r="X17" s="23"/>
      <c r="Y17" s="25"/>
      <c r="Z17" s="26"/>
      <c r="AA17" s="26"/>
      <c r="AC17" t="s">
        <v>762</v>
      </c>
    </row>
    <row r="18" spans="1:41" x14ac:dyDescent="0.25">
      <c r="A18" s="20" t="s">
        <v>70</v>
      </c>
      <c r="B18" s="21" t="s">
        <v>71</v>
      </c>
      <c r="D18" s="22" t="s">
        <v>42</v>
      </c>
      <c r="E18" s="22" t="s">
        <v>42</v>
      </c>
      <c r="F18" s="22" t="s">
        <v>42</v>
      </c>
      <c r="G18" s="23" t="s">
        <v>42</v>
      </c>
      <c r="H18" s="22" t="s">
        <v>42</v>
      </c>
      <c r="I18" s="22" t="s">
        <v>42</v>
      </c>
      <c r="J18" s="22" t="s">
        <v>42</v>
      </c>
      <c r="K18" s="22" t="s">
        <v>42</v>
      </c>
      <c r="L18" s="22" t="s">
        <v>42</v>
      </c>
      <c r="M18" s="22" t="s">
        <v>42</v>
      </c>
      <c r="N18" s="24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5"/>
      <c r="Z18" s="26" t="s">
        <v>42</v>
      </c>
      <c r="AA18" s="26"/>
      <c r="AC18" t="s">
        <v>763</v>
      </c>
    </row>
    <row r="19" spans="1:41" x14ac:dyDescent="0.25">
      <c r="A19" s="20" t="s">
        <v>72</v>
      </c>
      <c r="B19" s="21" t="s">
        <v>73</v>
      </c>
      <c r="D19" s="22"/>
      <c r="E19" s="22" t="s">
        <v>42</v>
      </c>
      <c r="F19" s="22" t="s">
        <v>42</v>
      </c>
      <c r="G19" s="23" t="s">
        <v>42</v>
      </c>
      <c r="H19" s="22" t="s">
        <v>42</v>
      </c>
      <c r="I19" s="22" t="s">
        <v>42</v>
      </c>
      <c r="J19" s="22"/>
      <c r="K19" s="22"/>
      <c r="L19" s="22"/>
      <c r="M19" s="22"/>
      <c r="N19" s="24"/>
      <c r="O19" s="23"/>
      <c r="P19" s="23" t="s">
        <v>42</v>
      </c>
      <c r="Q19" s="23" t="s">
        <v>42</v>
      </c>
      <c r="R19" s="23" t="s">
        <v>42</v>
      </c>
      <c r="S19" s="23" t="s">
        <v>42</v>
      </c>
      <c r="T19" s="23" t="s">
        <v>42</v>
      </c>
      <c r="U19" s="23"/>
      <c r="V19" s="23"/>
      <c r="W19" s="23"/>
      <c r="X19" s="23"/>
      <c r="Y19" s="25"/>
      <c r="Z19" s="26"/>
      <c r="AA19" s="26"/>
      <c r="AC19" t="s">
        <v>764</v>
      </c>
    </row>
    <row r="20" spans="1:41" x14ac:dyDescent="0.25">
      <c r="A20" s="20" t="s">
        <v>74</v>
      </c>
      <c r="B20" s="21" t="s">
        <v>75</v>
      </c>
      <c r="D20" s="22"/>
      <c r="E20" s="22"/>
      <c r="F20" s="22"/>
      <c r="G20" s="23"/>
      <c r="H20" s="22"/>
      <c r="I20" s="22"/>
      <c r="J20" s="22" t="s">
        <v>42</v>
      </c>
      <c r="K20" s="22" t="s">
        <v>42</v>
      </c>
      <c r="L20" s="22" t="s">
        <v>42</v>
      </c>
      <c r="M20" s="22" t="s">
        <v>42</v>
      </c>
      <c r="N20" s="24"/>
      <c r="O20" s="23"/>
      <c r="P20" s="23"/>
      <c r="Q20" s="23"/>
      <c r="R20" s="23"/>
      <c r="S20" s="23"/>
      <c r="T20" s="23"/>
      <c r="U20" s="23" t="s">
        <v>42</v>
      </c>
      <c r="V20" s="23" t="s">
        <v>42</v>
      </c>
      <c r="W20" s="23" t="s">
        <v>42</v>
      </c>
      <c r="X20" s="23" t="s">
        <v>42</v>
      </c>
      <c r="Y20" s="25"/>
      <c r="Z20" s="26"/>
      <c r="AA20" s="26"/>
      <c r="AC20" t="s">
        <v>765</v>
      </c>
    </row>
    <row r="21" spans="1:41" x14ac:dyDescent="0.25">
      <c r="A21" s="20" t="s">
        <v>76</v>
      </c>
      <c r="B21" s="21" t="s">
        <v>77</v>
      </c>
      <c r="D21" s="22"/>
      <c r="E21" s="22" t="s">
        <v>42</v>
      </c>
      <c r="F21" s="22" t="s">
        <v>42</v>
      </c>
      <c r="G21" s="23" t="s">
        <v>42</v>
      </c>
      <c r="H21" s="22" t="s">
        <v>42</v>
      </c>
      <c r="I21" s="22" t="s">
        <v>42</v>
      </c>
      <c r="J21" s="22" t="s">
        <v>42</v>
      </c>
      <c r="K21" s="22" t="s">
        <v>42</v>
      </c>
      <c r="L21" s="22" t="s">
        <v>42</v>
      </c>
      <c r="M21" s="22" t="s">
        <v>42</v>
      </c>
      <c r="N21" s="24"/>
      <c r="O21" s="23"/>
      <c r="P21" s="23" t="s">
        <v>42</v>
      </c>
      <c r="Q21" s="23" t="s">
        <v>42</v>
      </c>
      <c r="R21" s="23" t="s">
        <v>42</v>
      </c>
      <c r="S21" s="23" t="s">
        <v>42</v>
      </c>
      <c r="T21" s="23" t="s">
        <v>42</v>
      </c>
      <c r="U21" s="22" t="s">
        <v>42</v>
      </c>
      <c r="V21" s="22" t="s">
        <v>42</v>
      </c>
      <c r="W21" s="22" t="s">
        <v>42</v>
      </c>
      <c r="X21" s="22" t="s">
        <v>42</v>
      </c>
      <c r="Y21" s="25"/>
      <c r="Z21" s="26"/>
      <c r="AA21" s="26"/>
      <c r="AC21" t="s">
        <v>766</v>
      </c>
    </row>
    <row r="22" spans="1:41" x14ac:dyDescent="0.25">
      <c r="A22" s="29" t="s">
        <v>78</v>
      </c>
      <c r="B22" s="30" t="s">
        <v>79</v>
      </c>
      <c r="D22" s="14"/>
      <c r="E22" s="14"/>
      <c r="F22" s="14"/>
      <c r="G22" s="15"/>
      <c r="H22" s="14"/>
      <c r="I22" s="14"/>
      <c r="J22" s="14"/>
      <c r="K22" s="14"/>
      <c r="L22" s="14"/>
      <c r="M22" s="14"/>
      <c r="N22" s="16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41" x14ac:dyDescent="0.25">
      <c r="A23" s="20" t="s">
        <v>80</v>
      </c>
      <c r="B23" s="21" t="s">
        <v>81</v>
      </c>
      <c r="D23" s="22"/>
      <c r="E23" s="22" t="s">
        <v>82</v>
      </c>
      <c r="F23" s="22" t="s">
        <v>82</v>
      </c>
      <c r="G23" s="23" t="s">
        <v>82</v>
      </c>
      <c r="H23" s="22" t="s">
        <v>82</v>
      </c>
      <c r="I23" s="22" t="s">
        <v>82</v>
      </c>
      <c r="J23" s="22"/>
      <c r="K23" s="22"/>
      <c r="L23" s="22"/>
      <c r="M23" s="22"/>
      <c r="N23" s="24"/>
      <c r="O23" s="23"/>
      <c r="P23" s="23" t="s">
        <v>82</v>
      </c>
      <c r="Q23" s="23" t="s">
        <v>82</v>
      </c>
      <c r="R23" s="23" t="s">
        <v>82</v>
      </c>
      <c r="S23" s="23" t="s">
        <v>82</v>
      </c>
      <c r="T23" s="23" t="s">
        <v>82</v>
      </c>
      <c r="U23" s="23"/>
      <c r="V23" s="23"/>
      <c r="W23" s="23"/>
      <c r="X23" s="23"/>
      <c r="Y23" s="25"/>
      <c r="Z23" s="26"/>
      <c r="AA23" s="26"/>
      <c r="AC23" t="s">
        <v>767</v>
      </c>
    </row>
    <row r="24" spans="1:41" ht="17.100000000000001" customHeight="1" x14ac:dyDescent="0.25">
      <c r="A24" s="20" t="s">
        <v>83</v>
      </c>
      <c r="B24" s="21" t="s">
        <v>84</v>
      </c>
      <c r="D24" s="22"/>
      <c r="E24" s="22"/>
      <c r="F24" s="22"/>
      <c r="G24" s="23"/>
      <c r="H24" s="22"/>
      <c r="I24" s="22"/>
      <c r="J24" s="22"/>
      <c r="K24" s="22"/>
      <c r="L24" s="22"/>
      <c r="M24" s="22"/>
      <c r="N24" s="2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5"/>
      <c r="Z24" s="26" t="s">
        <v>42</v>
      </c>
      <c r="AA24" s="26"/>
      <c r="AC24" t="s">
        <v>768</v>
      </c>
    </row>
    <row r="25" spans="1:41" x14ac:dyDescent="0.25">
      <c r="A25" s="20" t="s">
        <v>85</v>
      </c>
      <c r="B25" s="21" t="s">
        <v>86</v>
      </c>
      <c r="D25" s="22"/>
      <c r="E25" s="22"/>
      <c r="F25" s="22"/>
      <c r="G25" s="23"/>
      <c r="H25" s="22"/>
      <c r="I25" s="22"/>
      <c r="J25" s="22"/>
      <c r="K25" s="22"/>
      <c r="L25" s="22"/>
      <c r="M25" s="22"/>
      <c r="N25" s="24"/>
      <c r="O25" s="23" t="s">
        <v>42</v>
      </c>
      <c r="P25" s="23" t="s">
        <v>42</v>
      </c>
      <c r="Q25" s="23" t="s">
        <v>42</v>
      </c>
      <c r="R25" s="23" t="s">
        <v>42</v>
      </c>
      <c r="S25" s="23" t="s">
        <v>42</v>
      </c>
      <c r="T25" s="23" t="s">
        <v>42</v>
      </c>
      <c r="U25" s="23" t="s">
        <v>42</v>
      </c>
      <c r="V25" s="23" t="s">
        <v>42</v>
      </c>
      <c r="W25" s="23" t="s">
        <v>42</v>
      </c>
      <c r="X25" s="23" t="s">
        <v>42</v>
      </c>
      <c r="Y25" s="25"/>
      <c r="Z25" s="26"/>
      <c r="AA25" s="26" t="s">
        <v>42</v>
      </c>
      <c r="AC25" t="s">
        <v>769</v>
      </c>
    </row>
    <row r="26" spans="1:41" x14ac:dyDescent="0.25">
      <c r="A26" s="20" t="s">
        <v>87</v>
      </c>
      <c r="B26" s="21" t="s">
        <v>88</v>
      </c>
      <c r="D26" s="22"/>
      <c r="E26" s="22"/>
      <c r="F26" s="22"/>
      <c r="G26" s="23"/>
      <c r="H26" s="22"/>
      <c r="I26" s="22"/>
      <c r="J26" s="22"/>
      <c r="K26" s="22"/>
      <c r="L26" s="22"/>
      <c r="M26" s="22"/>
      <c r="N26" s="24"/>
      <c r="O26" s="23" t="s">
        <v>42</v>
      </c>
      <c r="P26" s="23" t="s">
        <v>42</v>
      </c>
      <c r="Q26" s="23" t="s">
        <v>42</v>
      </c>
      <c r="R26" s="23" t="s">
        <v>42</v>
      </c>
      <c r="S26" s="23" t="s">
        <v>42</v>
      </c>
      <c r="T26" s="23" t="s">
        <v>42</v>
      </c>
      <c r="U26" s="23" t="s">
        <v>42</v>
      </c>
      <c r="V26" s="23" t="s">
        <v>42</v>
      </c>
      <c r="W26" s="23" t="s">
        <v>42</v>
      </c>
      <c r="X26" s="23" t="s">
        <v>42</v>
      </c>
      <c r="Y26" s="25"/>
      <c r="Z26" s="26"/>
      <c r="AA26" s="26" t="s">
        <v>42</v>
      </c>
      <c r="AC26" t="s">
        <v>770</v>
      </c>
    </row>
    <row r="27" spans="1:41" x14ac:dyDescent="0.25">
      <c r="A27" s="31" t="s">
        <v>89</v>
      </c>
      <c r="B27" s="32" t="s">
        <v>90</v>
      </c>
      <c r="C27"/>
      <c r="D27" s="22" t="s">
        <v>82</v>
      </c>
      <c r="E27" s="22" t="s">
        <v>82</v>
      </c>
      <c r="F27" s="22" t="s">
        <v>82</v>
      </c>
      <c r="G27" s="23" t="s">
        <v>82</v>
      </c>
      <c r="H27" s="22" t="s">
        <v>82</v>
      </c>
      <c r="I27" s="22" t="s">
        <v>82</v>
      </c>
      <c r="J27" s="22" t="s">
        <v>82</v>
      </c>
      <c r="K27" s="22" t="s">
        <v>82</v>
      </c>
      <c r="L27" s="22" t="s">
        <v>82</v>
      </c>
      <c r="M27" s="22" t="s">
        <v>82</v>
      </c>
      <c r="N27" s="24"/>
      <c r="O27" s="23" t="s">
        <v>82</v>
      </c>
      <c r="P27" s="23" t="s">
        <v>82</v>
      </c>
      <c r="Q27" s="23" t="s">
        <v>82</v>
      </c>
      <c r="R27" s="23" t="s">
        <v>82</v>
      </c>
      <c r="S27" s="23" t="s">
        <v>82</v>
      </c>
      <c r="T27" s="23" t="s">
        <v>82</v>
      </c>
      <c r="U27" s="23" t="s">
        <v>82</v>
      </c>
      <c r="V27" s="23" t="s">
        <v>82</v>
      </c>
      <c r="W27" s="23" t="s">
        <v>82</v>
      </c>
      <c r="X27" s="23" t="s">
        <v>82</v>
      </c>
      <c r="Y27" s="25"/>
      <c r="Z27" s="26"/>
      <c r="AA27" s="26"/>
      <c r="AB27" s="26"/>
      <c r="AC27" s="26"/>
      <c r="AD27" s="26"/>
      <c r="AJ27" s="26"/>
      <c r="AK27" s="26"/>
      <c r="AL27" s="26"/>
      <c r="AM27" s="26"/>
      <c r="AN27" s="26"/>
      <c r="AO27" s="26"/>
    </row>
    <row r="28" spans="1:41" x14ac:dyDescent="0.25">
      <c r="A28" s="18" t="s">
        <v>91</v>
      </c>
      <c r="B28" s="19" t="s">
        <v>92</v>
      </c>
      <c r="D28" s="14"/>
      <c r="E28" s="14"/>
      <c r="F28" s="14"/>
      <c r="G28" s="15"/>
      <c r="H28" s="14"/>
      <c r="I28" s="14"/>
      <c r="J28" s="14"/>
      <c r="K28" s="14"/>
      <c r="L28" s="14"/>
      <c r="M28" s="14"/>
      <c r="N28" s="16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41" x14ac:dyDescent="0.25">
      <c r="A29" s="20" t="s">
        <v>93</v>
      </c>
      <c r="B29" s="21" t="s">
        <v>94</v>
      </c>
      <c r="D29" s="22" t="s">
        <v>42</v>
      </c>
      <c r="E29" s="22" t="s">
        <v>42</v>
      </c>
      <c r="F29" s="22" t="s">
        <v>42</v>
      </c>
      <c r="G29" s="23" t="s">
        <v>42</v>
      </c>
      <c r="H29" s="22" t="s">
        <v>42</v>
      </c>
      <c r="I29" s="22" t="s">
        <v>42</v>
      </c>
      <c r="J29" s="22"/>
      <c r="K29" s="22"/>
      <c r="L29" s="22"/>
      <c r="M29" s="22"/>
      <c r="N29" s="24"/>
      <c r="O29" s="23" t="s">
        <v>42</v>
      </c>
      <c r="P29" s="23" t="s">
        <v>42</v>
      </c>
      <c r="Q29" s="23" t="s">
        <v>42</v>
      </c>
      <c r="R29" s="23" t="s">
        <v>42</v>
      </c>
      <c r="S29" s="23" t="s">
        <v>42</v>
      </c>
      <c r="T29" s="23" t="s">
        <v>42</v>
      </c>
      <c r="U29" s="23"/>
      <c r="V29" s="23"/>
      <c r="W29" s="23"/>
      <c r="X29" s="23"/>
      <c r="Y29" s="25"/>
      <c r="Z29" s="26"/>
      <c r="AA29" s="26"/>
      <c r="AC29" t="s">
        <v>771</v>
      </c>
    </row>
    <row r="30" spans="1:41" x14ac:dyDescent="0.25">
      <c r="A30" s="20" t="s">
        <v>95</v>
      </c>
      <c r="B30" s="21" t="s">
        <v>96</v>
      </c>
      <c r="D30" s="22" t="s">
        <v>42</v>
      </c>
      <c r="E30" s="22" t="s">
        <v>42</v>
      </c>
      <c r="F30" s="22" t="s">
        <v>42</v>
      </c>
      <c r="G30" s="23" t="s">
        <v>42</v>
      </c>
      <c r="H30" s="22" t="s">
        <v>42</v>
      </c>
      <c r="I30" s="22" t="s">
        <v>42</v>
      </c>
      <c r="J30" s="22"/>
      <c r="K30" s="22"/>
      <c r="L30" s="22"/>
      <c r="M30" s="22"/>
      <c r="N30" s="24"/>
      <c r="O30" s="23" t="s">
        <v>42</v>
      </c>
      <c r="P30" s="23" t="s">
        <v>42</v>
      </c>
      <c r="Q30" s="23" t="s">
        <v>42</v>
      </c>
      <c r="R30" s="23" t="s">
        <v>42</v>
      </c>
      <c r="S30" s="23" t="s">
        <v>42</v>
      </c>
      <c r="T30" s="23" t="s">
        <v>42</v>
      </c>
      <c r="U30" s="23"/>
      <c r="V30" s="23"/>
      <c r="W30" s="23"/>
      <c r="X30" s="23"/>
      <c r="Y30" s="25"/>
      <c r="Z30" s="26"/>
      <c r="AA30" s="26"/>
      <c r="AC30" t="s">
        <v>772</v>
      </c>
    </row>
    <row r="31" spans="1:41" x14ac:dyDescent="0.25">
      <c r="A31" s="20" t="s">
        <v>97</v>
      </c>
      <c r="B31" s="21" t="s">
        <v>98</v>
      </c>
      <c r="C31" t="s">
        <v>99</v>
      </c>
      <c r="D31" s="22" t="s">
        <v>42</v>
      </c>
      <c r="E31" s="22" t="s">
        <v>42</v>
      </c>
      <c r="F31" s="22" t="s">
        <v>42</v>
      </c>
      <c r="G31" s="23" t="s">
        <v>42</v>
      </c>
      <c r="H31" s="22" t="s">
        <v>42</v>
      </c>
      <c r="I31" s="22" t="s">
        <v>42</v>
      </c>
      <c r="J31" s="22"/>
      <c r="K31" s="22"/>
      <c r="L31" s="22"/>
      <c r="M31" s="22"/>
      <c r="N31" s="24"/>
      <c r="O31" s="23" t="s">
        <v>42</v>
      </c>
      <c r="P31" s="23" t="s">
        <v>42</v>
      </c>
      <c r="Q31" s="23" t="s">
        <v>42</v>
      </c>
      <c r="R31" s="23" t="s">
        <v>42</v>
      </c>
      <c r="S31" s="23" t="s">
        <v>42</v>
      </c>
      <c r="T31" s="23" t="s">
        <v>42</v>
      </c>
      <c r="U31" s="23"/>
      <c r="V31" s="23"/>
      <c r="W31" s="23"/>
      <c r="X31" s="23"/>
      <c r="Y31" s="25"/>
      <c r="Z31" s="26"/>
      <c r="AA31" s="26"/>
      <c r="AC31" t="s">
        <v>773</v>
      </c>
    </row>
    <row r="32" spans="1:41" x14ac:dyDescent="0.25">
      <c r="A32" s="20" t="s">
        <v>100</v>
      </c>
      <c r="B32" s="21" t="s">
        <v>101</v>
      </c>
      <c r="D32" s="22" t="s">
        <v>42</v>
      </c>
      <c r="E32" s="22" t="s">
        <v>42</v>
      </c>
      <c r="F32" s="22" t="s">
        <v>42</v>
      </c>
      <c r="G32" s="23"/>
      <c r="H32" s="22"/>
      <c r="I32" s="22"/>
      <c r="J32" s="22" t="s">
        <v>42</v>
      </c>
      <c r="K32" s="22"/>
      <c r="L32" s="22"/>
      <c r="M32" s="22"/>
      <c r="N32" s="24"/>
      <c r="O32" s="23" t="s">
        <v>42</v>
      </c>
      <c r="P32" s="23" t="s">
        <v>42</v>
      </c>
      <c r="Q32" s="23" t="s">
        <v>42</v>
      </c>
      <c r="R32" s="23"/>
      <c r="S32" s="23"/>
      <c r="T32" s="23"/>
      <c r="U32" s="23" t="s">
        <v>42</v>
      </c>
      <c r="V32" s="23"/>
      <c r="W32" s="23"/>
      <c r="X32" s="23"/>
      <c r="Y32" s="25"/>
      <c r="Z32" s="26"/>
      <c r="AA32" s="26"/>
      <c r="AC32" t="s">
        <v>774</v>
      </c>
    </row>
    <row r="33" spans="1:29" x14ac:dyDescent="0.25">
      <c r="A33" s="20" t="s">
        <v>102</v>
      </c>
      <c r="B33" s="21" t="s">
        <v>103</v>
      </c>
      <c r="D33" s="22" t="s">
        <v>42</v>
      </c>
      <c r="E33" s="22" t="s">
        <v>42</v>
      </c>
      <c r="F33" s="22" t="s">
        <v>42</v>
      </c>
      <c r="G33" s="23"/>
      <c r="H33" s="22"/>
      <c r="I33" s="22"/>
      <c r="J33" s="22" t="s">
        <v>42</v>
      </c>
      <c r="K33" s="22"/>
      <c r="L33" s="22"/>
      <c r="M33" s="22"/>
      <c r="N33" s="24"/>
      <c r="O33" s="23" t="s">
        <v>42</v>
      </c>
      <c r="P33" s="23" t="s">
        <v>42</v>
      </c>
      <c r="Q33" s="23" t="s">
        <v>42</v>
      </c>
      <c r="R33" s="23"/>
      <c r="S33" s="23"/>
      <c r="T33" s="23"/>
      <c r="U33" s="23" t="s">
        <v>42</v>
      </c>
      <c r="V33" s="23"/>
      <c r="W33" s="23"/>
      <c r="X33" s="23"/>
      <c r="Y33" s="25"/>
      <c r="Z33" s="26"/>
      <c r="AA33" s="26"/>
      <c r="AC33" t="s">
        <v>775</v>
      </c>
    </row>
    <row r="34" spans="1:29" x14ac:dyDescent="0.25">
      <c r="A34" s="20" t="s">
        <v>104</v>
      </c>
      <c r="B34" s="27" t="s">
        <v>105</v>
      </c>
      <c r="C34" s="13" t="s">
        <v>106</v>
      </c>
      <c r="D34" s="22" t="s">
        <v>42</v>
      </c>
      <c r="E34" s="22" t="s">
        <v>42</v>
      </c>
      <c r="F34" s="22" t="s">
        <v>42</v>
      </c>
      <c r="G34" s="23" t="s">
        <v>42</v>
      </c>
      <c r="H34" s="22" t="s">
        <v>42</v>
      </c>
      <c r="I34" s="22" t="s">
        <v>42</v>
      </c>
      <c r="J34" s="22" t="s">
        <v>42</v>
      </c>
      <c r="K34" s="22" t="s">
        <v>42</v>
      </c>
      <c r="L34" s="22" t="s">
        <v>42</v>
      </c>
      <c r="M34" s="22" t="s">
        <v>42</v>
      </c>
      <c r="N34" s="24"/>
      <c r="O34" s="23" t="s">
        <v>42</v>
      </c>
      <c r="P34" s="23" t="s">
        <v>42</v>
      </c>
      <c r="Q34" s="23" t="s">
        <v>42</v>
      </c>
      <c r="R34" s="23" t="s">
        <v>42</v>
      </c>
      <c r="S34" s="23" t="s">
        <v>42</v>
      </c>
      <c r="T34" s="23" t="s">
        <v>42</v>
      </c>
      <c r="U34" s="23" t="s">
        <v>42</v>
      </c>
      <c r="V34" s="23" t="s">
        <v>42</v>
      </c>
      <c r="W34" s="23" t="s">
        <v>42</v>
      </c>
      <c r="X34" s="23" t="s">
        <v>42</v>
      </c>
      <c r="Y34" s="25"/>
      <c r="Z34" s="26"/>
      <c r="AA34" s="26"/>
      <c r="AC34" t="s">
        <v>776</v>
      </c>
    </row>
    <row r="35" spans="1:29" x14ac:dyDescent="0.25">
      <c r="A35" s="20" t="s">
        <v>107</v>
      </c>
      <c r="B35" s="21" t="s">
        <v>108</v>
      </c>
      <c r="C35"/>
      <c r="D35" s="22" t="s">
        <v>42</v>
      </c>
      <c r="E35" s="22" t="s">
        <v>42</v>
      </c>
      <c r="F35" s="22" t="s">
        <v>42</v>
      </c>
      <c r="G35" s="23" t="s">
        <v>42</v>
      </c>
      <c r="H35" s="22"/>
      <c r="I35" s="22" t="s">
        <v>42</v>
      </c>
      <c r="J35" s="22" t="s">
        <v>42</v>
      </c>
      <c r="K35" s="22" t="s">
        <v>42</v>
      </c>
      <c r="L35" s="22"/>
      <c r="M35" s="22" t="s">
        <v>42</v>
      </c>
      <c r="N35" s="24"/>
      <c r="O35" s="23" t="s">
        <v>42</v>
      </c>
      <c r="P35" s="23" t="s">
        <v>42</v>
      </c>
      <c r="Q35" s="23" t="s">
        <v>42</v>
      </c>
      <c r="R35" s="23" t="s">
        <v>42</v>
      </c>
      <c r="S35" s="23"/>
      <c r="T35" s="23" t="s">
        <v>42</v>
      </c>
      <c r="U35" s="23" t="s">
        <v>42</v>
      </c>
      <c r="V35" s="23" t="s">
        <v>42</v>
      </c>
      <c r="W35" s="23"/>
      <c r="X35" s="23" t="s">
        <v>42</v>
      </c>
      <c r="Y35" s="25"/>
      <c r="Z35" s="26"/>
      <c r="AA35" s="26"/>
      <c r="AC35" t="s">
        <v>777</v>
      </c>
    </row>
    <row r="36" spans="1:29" x14ac:dyDescent="0.25">
      <c r="A36" s="20" t="s">
        <v>109</v>
      </c>
      <c r="B36" s="21" t="s">
        <v>110</v>
      </c>
      <c r="D36" s="22" t="s">
        <v>42</v>
      </c>
      <c r="E36" s="22" t="s">
        <v>42</v>
      </c>
      <c r="F36" s="22" t="s">
        <v>42</v>
      </c>
      <c r="G36" s="23" t="s">
        <v>42</v>
      </c>
      <c r="H36" s="22"/>
      <c r="I36" s="22" t="s">
        <v>82</v>
      </c>
      <c r="J36" s="22" t="s">
        <v>42</v>
      </c>
      <c r="K36" s="22" t="s">
        <v>42</v>
      </c>
      <c r="L36" s="22"/>
      <c r="M36" s="22" t="s">
        <v>82</v>
      </c>
      <c r="N36" s="24"/>
      <c r="O36" s="23" t="s">
        <v>42</v>
      </c>
      <c r="P36" s="23" t="s">
        <v>42</v>
      </c>
      <c r="Q36" s="23" t="s">
        <v>42</v>
      </c>
      <c r="R36" s="23" t="s">
        <v>42</v>
      </c>
      <c r="S36" s="23"/>
      <c r="T36" s="23" t="s">
        <v>82</v>
      </c>
      <c r="U36" s="23" t="s">
        <v>42</v>
      </c>
      <c r="V36" s="23" t="s">
        <v>42</v>
      </c>
      <c r="W36" s="23"/>
      <c r="X36" s="23" t="s">
        <v>82</v>
      </c>
      <c r="Y36" s="25"/>
      <c r="Z36" s="26"/>
      <c r="AA36" s="26"/>
      <c r="AC36" t="s">
        <v>778</v>
      </c>
    </row>
    <row r="37" spans="1:29" ht="30" x14ac:dyDescent="0.25">
      <c r="A37" s="20" t="s">
        <v>111</v>
      </c>
      <c r="B37" s="21" t="s">
        <v>112</v>
      </c>
      <c r="D37" s="22" t="s">
        <v>42</v>
      </c>
      <c r="E37" s="22" t="s">
        <v>42</v>
      </c>
      <c r="F37" s="22" t="s">
        <v>42</v>
      </c>
      <c r="G37" s="23" t="s">
        <v>42</v>
      </c>
      <c r="H37" s="22" t="s">
        <v>42</v>
      </c>
      <c r="I37" s="22" t="s">
        <v>42</v>
      </c>
      <c r="J37" s="22" t="s">
        <v>42</v>
      </c>
      <c r="K37" s="22" t="s">
        <v>42</v>
      </c>
      <c r="L37" s="22" t="s">
        <v>42</v>
      </c>
      <c r="M37" s="22" t="s">
        <v>42</v>
      </c>
      <c r="N37" s="24"/>
      <c r="O37" s="23" t="s">
        <v>42</v>
      </c>
      <c r="P37" s="23" t="s">
        <v>42</v>
      </c>
      <c r="Q37" s="23" t="s">
        <v>42</v>
      </c>
      <c r="R37" s="23" t="s">
        <v>42</v>
      </c>
      <c r="S37" s="23" t="s">
        <v>42</v>
      </c>
      <c r="T37" s="23" t="s">
        <v>42</v>
      </c>
      <c r="U37" s="23" t="s">
        <v>42</v>
      </c>
      <c r="V37" s="23" t="s">
        <v>42</v>
      </c>
      <c r="W37" s="23" t="s">
        <v>42</v>
      </c>
      <c r="X37" s="23" t="s">
        <v>42</v>
      </c>
      <c r="Y37" s="25"/>
      <c r="Z37" s="26"/>
      <c r="AA37" s="26"/>
      <c r="AC37" t="s">
        <v>779</v>
      </c>
    </row>
    <row r="38" spans="1:29" x14ac:dyDescent="0.25">
      <c r="A38" s="20" t="s">
        <v>113</v>
      </c>
      <c r="B38" s="21" t="s">
        <v>114</v>
      </c>
      <c r="D38" s="22" t="s">
        <v>42</v>
      </c>
      <c r="E38" s="22" t="s">
        <v>42</v>
      </c>
      <c r="F38" s="22" t="s">
        <v>42</v>
      </c>
      <c r="G38" s="23" t="s">
        <v>42</v>
      </c>
      <c r="H38" s="22" t="s">
        <v>42</v>
      </c>
      <c r="I38" s="22" t="s">
        <v>42</v>
      </c>
      <c r="J38" s="22" t="s">
        <v>42</v>
      </c>
      <c r="K38" s="22" t="s">
        <v>42</v>
      </c>
      <c r="L38" s="22" t="s">
        <v>42</v>
      </c>
      <c r="M38" s="22" t="s">
        <v>42</v>
      </c>
      <c r="N38" s="24"/>
      <c r="O38" s="23" t="s">
        <v>42</v>
      </c>
      <c r="P38" s="23" t="s">
        <v>42</v>
      </c>
      <c r="Q38" s="23" t="s">
        <v>42</v>
      </c>
      <c r="R38" s="23" t="s">
        <v>42</v>
      </c>
      <c r="S38" s="23" t="s">
        <v>42</v>
      </c>
      <c r="T38" s="23" t="s">
        <v>42</v>
      </c>
      <c r="U38" s="23" t="s">
        <v>42</v>
      </c>
      <c r="V38" s="23" t="s">
        <v>42</v>
      </c>
      <c r="W38" s="23" t="s">
        <v>42</v>
      </c>
      <c r="X38" s="23" t="s">
        <v>42</v>
      </c>
      <c r="Y38" s="25"/>
      <c r="Z38" s="26"/>
      <c r="AA38" s="26"/>
      <c r="AC38" t="s">
        <v>780</v>
      </c>
    </row>
    <row r="39" spans="1:29" ht="30" x14ac:dyDescent="0.25">
      <c r="A39" s="20" t="s">
        <v>115</v>
      </c>
      <c r="B39" s="27" t="s">
        <v>116</v>
      </c>
      <c r="D39" s="22" t="s">
        <v>42</v>
      </c>
      <c r="E39" s="22" t="s">
        <v>42</v>
      </c>
      <c r="F39" s="22" t="s">
        <v>42</v>
      </c>
      <c r="G39" s="23" t="s">
        <v>42</v>
      </c>
      <c r="H39" s="22" t="s">
        <v>42</v>
      </c>
      <c r="I39" s="22" t="s">
        <v>42</v>
      </c>
      <c r="J39" s="22" t="s">
        <v>42</v>
      </c>
      <c r="K39" s="22" t="s">
        <v>42</v>
      </c>
      <c r="L39" s="22" t="s">
        <v>42</v>
      </c>
      <c r="M39" s="22" t="s">
        <v>42</v>
      </c>
      <c r="N39" s="24"/>
      <c r="O39" s="23" t="s">
        <v>42</v>
      </c>
      <c r="P39" s="23" t="s">
        <v>42</v>
      </c>
      <c r="Q39" s="23" t="s">
        <v>42</v>
      </c>
      <c r="R39" s="23" t="s">
        <v>42</v>
      </c>
      <c r="S39" s="23" t="s">
        <v>42</v>
      </c>
      <c r="T39" s="23" t="s">
        <v>42</v>
      </c>
      <c r="U39" s="23" t="s">
        <v>42</v>
      </c>
      <c r="V39" s="23" t="s">
        <v>42</v>
      </c>
      <c r="W39" s="23" t="s">
        <v>42</v>
      </c>
      <c r="X39" s="23" t="s">
        <v>42</v>
      </c>
      <c r="Y39" s="25"/>
      <c r="Z39" s="26"/>
      <c r="AA39" s="26"/>
      <c r="AC39" t="s">
        <v>781</v>
      </c>
    </row>
    <row r="40" spans="1:29" ht="37.5" customHeight="1" x14ac:dyDescent="0.25">
      <c r="A40" s="20" t="s">
        <v>117</v>
      </c>
      <c r="B40" s="27" t="s">
        <v>118</v>
      </c>
      <c r="D40" s="22" t="s">
        <v>42</v>
      </c>
      <c r="E40" s="22" t="s">
        <v>42</v>
      </c>
      <c r="F40" s="22" t="s">
        <v>42</v>
      </c>
      <c r="G40" s="23" t="s">
        <v>42</v>
      </c>
      <c r="H40" s="22" t="s">
        <v>42</v>
      </c>
      <c r="I40" s="22" t="s">
        <v>42</v>
      </c>
      <c r="J40" s="22" t="s">
        <v>42</v>
      </c>
      <c r="K40" s="22" t="s">
        <v>42</v>
      </c>
      <c r="L40" s="22" t="s">
        <v>42</v>
      </c>
      <c r="M40" s="22" t="s">
        <v>42</v>
      </c>
      <c r="N40" s="24"/>
      <c r="O40" s="23" t="s">
        <v>42</v>
      </c>
      <c r="P40" s="23" t="s">
        <v>42</v>
      </c>
      <c r="Q40" s="23" t="s">
        <v>42</v>
      </c>
      <c r="R40" s="23" t="s">
        <v>42</v>
      </c>
      <c r="S40" s="23" t="s">
        <v>42</v>
      </c>
      <c r="T40" s="23" t="s">
        <v>42</v>
      </c>
      <c r="U40" s="23" t="s">
        <v>42</v>
      </c>
      <c r="V40" s="23" t="s">
        <v>42</v>
      </c>
      <c r="W40" s="23" t="s">
        <v>42</v>
      </c>
      <c r="X40" s="23" t="s">
        <v>42</v>
      </c>
      <c r="Y40" s="25"/>
      <c r="Z40" s="26"/>
      <c r="AA40" s="26"/>
      <c r="AC40" t="s">
        <v>782</v>
      </c>
    </row>
    <row r="41" spans="1:29" x14ac:dyDescent="0.25">
      <c r="A41" s="20" t="s">
        <v>119</v>
      </c>
      <c r="B41" s="21" t="s">
        <v>120</v>
      </c>
      <c r="C41"/>
      <c r="D41" s="22" t="s">
        <v>42</v>
      </c>
      <c r="E41" s="22" t="s">
        <v>42</v>
      </c>
      <c r="F41" s="22" t="s">
        <v>42</v>
      </c>
      <c r="G41" s="23" t="s">
        <v>42</v>
      </c>
      <c r="H41" s="22" t="s">
        <v>42</v>
      </c>
      <c r="I41" s="22" t="s">
        <v>42</v>
      </c>
      <c r="J41" s="22"/>
      <c r="K41" s="22"/>
      <c r="L41" s="22"/>
      <c r="M41" s="22"/>
      <c r="N41" s="24"/>
      <c r="O41" s="23" t="s">
        <v>42</v>
      </c>
      <c r="P41" s="23" t="s">
        <v>42</v>
      </c>
      <c r="Q41" s="23" t="s">
        <v>42</v>
      </c>
      <c r="R41" s="23" t="s">
        <v>42</v>
      </c>
      <c r="S41" s="23" t="s">
        <v>42</v>
      </c>
      <c r="T41" s="23" t="s">
        <v>42</v>
      </c>
      <c r="U41" s="23"/>
      <c r="V41" s="23"/>
      <c r="W41" s="23"/>
      <c r="X41" s="23"/>
      <c r="Y41" s="25"/>
      <c r="AC41" t="s">
        <v>783</v>
      </c>
    </row>
    <row r="42" spans="1:29" x14ac:dyDescent="0.25">
      <c r="A42" s="20" t="s">
        <v>121</v>
      </c>
      <c r="B42" s="21" t="s">
        <v>122</v>
      </c>
      <c r="C42" s="13" t="s">
        <v>123</v>
      </c>
      <c r="D42" s="22" t="s">
        <v>42</v>
      </c>
      <c r="E42" s="22"/>
      <c r="F42" s="22"/>
      <c r="G42" s="23"/>
      <c r="H42" s="22"/>
      <c r="I42" s="22"/>
      <c r="J42" s="22"/>
      <c r="K42" s="22"/>
      <c r="L42" s="22"/>
      <c r="M42" s="22"/>
      <c r="N42" s="24"/>
      <c r="O42" s="23" t="s">
        <v>42</v>
      </c>
      <c r="P42" s="23"/>
      <c r="Q42" s="23"/>
      <c r="R42" s="23"/>
      <c r="S42" s="23"/>
      <c r="T42" s="23"/>
      <c r="U42" s="23"/>
      <c r="V42" s="23"/>
      <c r="W42" s="23"/>
      <c r="X42" s="23"/>
      <c r="Y42" s="25"/>
      <c r="AC42" t="s">
        <v>784</v>
      </c>
    </row>
    <row r="43" spans="1:29" x14ac:dyDescent="0.25">
      <c r="A43" s="20" t="s">
        <v>124</v>
      </c>
      <c r="B43" s="21" t="s">
        <v>125</v>
      </c>
      <c r="C43" s="13" t="s">
        <v>123</v>
      </c>
      <c r="D43" s="22" t="s">
        <v>42</v>
      </c>
      <c r="E43" s="22"/>
      <c r="F43" s="22"/>
      <c r="G43" s="23"/>
      <c r="H43" s="22"/>
      <c r="I43" s="22"/>
      <c r="J43" s="22"/>
      <c r="K43" s="22"/>
      <c r="L43" s="22"/>
      <c r="M43" s="22"/>
      <c r="N43" s="24"/>
      <c r="O43" s="23" t="s">
        <v>42</v>
      </c>
      <c r="P43" s="23"/>
      <c r="Q43" s="23"/>
      <c r="R43" s="23"/>
      <c r="S43" s="23"/>
      <c r="T43" s="23"/>
      <c r="U43" s="23"/>
      <c r="V43" s="23"/>
      <c r="W43" s="23"/>
      <c r="X43" s="23"/>
      <c r="Y43" s="25"/>
      <c r="AC43" t="s">
        <v>785</v>
      </c>
    </row>
    <row r="44" spans="1:29" x14ac:dyDescent="0.25">
      <c r="A44" s="20" t="s">
        <v>126</v>
      </c>
      <c r="B44" s="21" t="s">
        <v>127</v>
      </c>
      <c r="C44"/>
      <c r="D44" s="22" t="s">
        <v>42</v>
      </c>
      <c r="E44" s="22" t="s">
        <v>42</v>
      </c>
      <c r="F44" s="22" t="s">
        <v>42</v>
      </c>
      <c r="G44" s="23" t="s">
        <v>42</v>
      </c>
      <c r="H44" s="22" t="s">
        <v>42</v>
      </c>
      <c r="I44" s="22" t="s">
        <v>42</v>
      </c>
      <c r="J44" s="22" t="s">
        <v>42</v>
      </c>
      <c r="K44" s="22" t="s">
        <v>42</v>
      </c>
      <c r="L44" s="22" t="s">
        <v>42</v>
      </c>
      <c r="M44" s="22" t="s">
        <v>42</v>
      </c>
      <c r="N44" s="24"/>
      <c r="O44" s="23" t="s">
        <v>42</v>
      </c>
      <c r="P44" s="23" t="s">
        <v>42</v>
      </c>
      <c r="Q44" s="23" t="s">
        <v>42</v>
      </c>
      <c r="R44" s="23" t="s">
        <v>42</v>
      </c>
      <c r="S44" s="23" t="s">
        <v>42</v>
      </c>
      <c r="T44" s="23" t="s">
        <v>42</v>
      </c>
      <c r="U44" s="23" t="s">
        <v>42</v>
      </c>
      <c r="V44" s="23" t="s">
        <v>42</v>
      </c>
      <c r="W44" s="23" t="s">
        <v>42</v>
      </c>
      <c r="X44" s="23" t="s">
        <v>42</v>
      </c>
      <c r="Y44" s="25"/>
      <c r="AC44" t="s">
        <v>786</v>
      </c>
    </row>
    <row r="45" spans="1:29" ht="30" x14ac:dyDescent="0.25">
      <c r="A45" s="28" t="s">
        <v>128</v>
      </c>
      <c r="B45" s="21" t="s">
        <v>129</v>
      </c>
      <c r="D45" s="22"/>
      <c r="E45" s="22" t="s">
        <v>42</v>
      </c>
      <c r="F45" s="22" t="s">
        <v>42</v>
      </c>
      <c r="G45" s="23" t="s">
        <v>42</v>
      </c>
      <c r="H45" s="22" t="s">
        <v>42</v>
      </c>
      <c r="I45" s="22" t="s">
        <v>42</v>
      </c>
      <c r="J45" s="22" t="s">
        <v>42</v>
      </c>
      <c r="K45" s="22" t="s">
        <v>42</v>
      </c>
      <c r="L45" s="22" t="s">
        <v>42</v>
      </c>
      <c r="M45" s="22" t="s">
        <v>42</v>
      </c>
      <c r="N45" s="24"/>
      <c r="O45" s="23"/>
      <c r="P45" s="23" t="s">
        <v>42</v>
      </c>
      <c r="Q45" s="23" t="s">
        <v>42</v>
      </c>
      <c r="R45" s="23" t="s">
        <v>42</v>
      </c>
      <c r="S45" s="23" t="s">
        <v>42</v>
      </c>
      <c r="T45" s="23" t="s">
        <v>42</v>
      </c>
      <c r="U45" s="23" t="s">
        <v>42</v>
      </c>
      <c r="V45" s="23" t="s">
        <v>42</v>
      </c>
      <c r="W45" s="23" t="s">
        <v>42</v>
      </c>
      <c r="X45" s="23" t="s">
        <v>42</v>
      </c>
      <c r="Y45" s="25"/>
      <c r="Z45" s="26"/>
      <c r="AA45" s="26"/>
      <c r="AC45" t="s">
        <v>787</v>
      </c>
    </row>
    <row r="46" spans="1:29" ht="30" x14ac:dyDescent="0.25">
      <c r="A46" s="28" t="s">
        <v>130</v>
      </c>
      <c r="B46" s="21" t="s">
        <v>131</v>
      </c>
      <c r="D46" s="22"/>
      <c r="E46" s="22" t="s">
        <v>42</v>
      </c>
      <c r="F46" s="22" t="s">
        <v>42</v>
      </c>
      <c r="G46" s="23" t="s">
        <v>42</v>
      </c>
      <c r="H46" s="22" t="s">
        <v>42</v>
      </c>
      <c r="I46" s="22" t="s">
        <v>42</v>
      </c>
      <c r="J46" s="22" t="s">
        <v>42</v>
      </c>
      <c r="K46" s="22" t="s">
        <v>42</v>
      </c>
      <c r="L46" s="22" t="s">
        <v>42</v>
      </c>
      <c r="M46" s="22" t="s">
        <v>42</v>
      </c>
      <c r="N46" s="24"/>
      <c r="O46" s="23"/>
      <c r="P46" s="23" t="s">
        <v>42</v>
      </c>
      <c r="Q46" s="23" t="s">
        <v>42</v>
      </c>
      <c r="R46" s="23" t="s">
        <v>42</v>
      </c>
      <c r="S46" s="23" t="s">
        <v>42</v>
      </c>
      <c r="T46" s="23" t="s">
        <v>42</v>
      </c>
      <c r="U46" s="23" t="s">
        <v>42</v>
      </c>
      <c r="V46" s="23" t="s">
        <v>42</v>
      </c>
      <c r="W46" s="23" t="s">
        <v>42</v>
      </c>
      <c r="X46" s="23" t="s">
        <v>42</v>
      </c>
      <c r="Y46" s="25"/>
      <c r="Z46" s="26"/>
      <c r="AA46" s="26"/>
      <c r="AC46" t="s">
        <v>788</v>
      </c>
    </row>
    <row r="47" spans="1:29" x14ac:dyDescent="0.25">
      <c r="A47" s="28" t="s">
        <v>132</v>
      </c>
      <c r="B47" s="21" t="s">
        <v>133</v>
      </c>
      <c r="D47" s="22"/>
      <c r="E47" s="22" t="s">
        <v>42</v>
      </c>
      <c r="F47" s="22" t="s">
        <v>42</v>
      </c>
      <c r="G47" s="23" t="s">
        <v>42</v>
      </c>
      <c r="H47" s="22" t="s">
        <v>42</v>
      </c>
      <c r="I47" s="22" t="s">
        <v>42</v>
      </c>
      <c r="J47" s="22" t="s">
        <v>42</v>
      </c>
      <c r="K47" s="22" t="s">
        <v>42</v>
      </c>
      <c r="L47" s="22" t="s">
        <v>42</v>
      </c>
      <c r="M47" s="22" t="s">
        <v>42</v>
      </c>
      <c r="N47" s="24"/>
      <c r="O47" s="23"/>
      <c r="P47" s="23" t="s">
        <v>42</v>
      </c>
      <c r="Q47" s="23" t="s">
        <v>42</v>
      </c>
      <c r="R47" s="23" t="s">
        <v>42</v>
      </c>
      <c r="S47" s="23" t="s">
        <v>42</v>
      </c>
      <c r="T47" s="23" t="s">
        <v>42</v>
      </c>
      <c r="U47" s="23" t="s">
        <v>42</v>
      </c>
      <c r="V47" s="23" t="s">
        <v>42</v>
      </c>
      <c r="W47" s="23" t="s">
        <v>42</v>
      </c>
      <c r="X47" s="23" t="s">
        <v>42</v>
      </c>
      <c r="Y47" s="25"/>
      <c r="Z47" s="26"/>
      <c r="AA47" s="26"/>
      <c r="AC47" t="s">
        <v>789</v>
      </c>
    </row>
    <row r="48" spans="1:29" x14ac:dyDescent="0.25">
      <c r="A48" s="28" t="s">
        <v>134</v>
      </c>
      <c r="B48" s="21" t="s">
        <v>135</v>
      </c>
      <c r="D48" s="22"/>
      <c r="E48" s="22" t="s">
        <v>42</v>
      </c>
      <c r="F48" s="22" t="s">
        <v>42</v>
      </c>
      <c r="G48" s="23" t="s">
        <v>42</v>
      </c>
      <c r="H48" s="22" t="s">
        <v>42</v>
      </c>
      <c r="I48" s="22" t="s">
        <v>42</v>
      </c>
      <c r="J48" s="22" t="s">
        <v>42</v>
      </c>
      <c r="K48" s="22" t="s">
        <v>42</v>
      </c>
      <c r="L48" s="22" t="s">
        <v>42</v>
      </c>
      <c r="M48" s="22" t="s">
        <v>42</v>
      </c>
      <c r="N48" s="24"/>
      <c r="O48" s="23"/>
      <c r="P48" s="23" t="s">
        <v>42</v>
      </c>
      <c r="Q48" s="23" t="s">
        <v>42</v>
      </c>
      <c r="R48" s="23" t="s">
        <v>42</v>
      </c>
      <c r="S48" s="23" t="s">
        <v>42</v>
      </c>
      <c r="T48" s="23" t="s">
        <v>42</v>
      </c>
      <c r="U48" s="23" t="s">
        <v>42</v>
      </c>
      <c r="V48" s="23" t="s">
        <v>42</v>
      </c>
      <c r="W48" s="23" t="s">
        <v>42</v>
      </c>
      <c r="X48" s="23" t="s">
        <v>42</v>
      </c>
      <c r="Y48" s="25"/>
      <c r="Z48" s="26"/>
      <c r="AA48" s="26"/>
      <c r="AC48" t="s">
        <v>790</v>
      </c>
    </row>
    <row r="49" spans="1:29" x14ac:dyDescent="0.25">
      <c r="A49" s="18" t="s">
        <v>136</v>
      </c>
      <c r="B49" s="19" t="s">
        <v>137</v>
      </c>
      <c r="D49" s="14"/>
      <c r="E49" s="14"/>
      <c r="F49" s="14"/>
      <c r="G49" s="15"/>
      <c r="H49" s="14"/>
      <c r="I49" s="14"/>
      <c r="J49" s="14"/>
      <c r="K49" s="14"/>
      <c r="L49" s="14"/>
      <c r="M49" s="14"/>
      <c r="N49" s="16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9" x14ac:dyDescent="0.25">
      <c r="A50" s="20" t="s">
        <v>138</v>
      </c>
      <c r="B50" s="21" t="s">
        <v>139</v>
      </c>
      <c r="D50" s="22" t="s">
        <v>42</v>
      </c>
      <c r="E50" s="22" t="s">
        <v>42</v>
      </c>
      <c r="F50" s="22" t="s">
        <v>42</v>
      </c>
      <c r="G50" s="23" t="s">
        <v>42</v>
      </c>
      <c r="H50" s="22" t="s">
        <v>42</v>
      </c>
      <c r="I50" s="22" t="s">
        <v>42</v>
      </c>
      <c r="J50" s="22" t="s">
        <v>42</v>
      </c>
      <c r="K50" s="22" t="s">
        <v>42</v>
      </c>
      <c r="L50" s="22" t="s">
        <v>42</v>
      </c>
      <c r="M50" s="22" t="s">
        <v>42</v>
      </c>
      <c r="N50" s="24"/>
      <c r="O50" s="23" t="s">
        <v>42</v>
      </c>
      <c r="P50" s="23" t="s">
        <v>42</v>
      </c>
      <c r="Q50" s="23" t="s">
        <v>42</v>
      </c>
      <c r="R50" s="23" t="s">
        <v>42</v>
      </c>
      <c r="S50" s="23" t="s">
        <v>42</v>
      </c>
      <c r="T50" s="23" t="s">
        <v>42</v>
      </c>
      <c r="U50" s="23" t="s">
        <v>42</v>
      </c>
      <c r="V50" s="23" t="s">
        <v>42</v>
      </c>
      <c r="W50" s="23" t="s">
        <v>42</v>
      </c>
      <c r="X50" s="23" t="s">
        <v>42</v>
      </c>
      <c r="Y50" s="25"/>
      <c r="Z50" s="26"/>
      <c r="AA50" s="26"/>
      <c r="AC50" t="s">
        <v>791</v>
      </c>
    </row>
    <row r="51" spans="1:29" x14ac:dyDescent="0.25">
      <c r="A51" s="20" t="s">
        <v>140</v>
      </c>
      <c r="B51" s="21" t="s">
        <v>141</v>
      </c>
      <c r="D51" s="14"/>
      <c r="E51" s="14"/>
      <c r="F51" s="14"/>
      <c r="G51" s="15"/>
      <c r="H51" s="14"/>
      <c r="I51" s="14"/>
      <c r="J51" s="14"/>
      <c r="K51" s="14"/>
      <c r="L51" s="14"/>
      <c r="M51" s="14"/>
      <c r="N51" s="16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9" ht="30" x14ac:dyDescent="0.25">
      <c r="A52" s="20" t="s">
        <v>142</v>
      </c>
      <c r="B52" s="21" t="s">
        <v>143</v>
      </c>
      <c r="D52" s="22"/>
      <c r="E52" s="22"/>
      <c r="F52" s="22"/>
      <c r="G52" s="23"/>
      <c r="H52" s="22"/>
      <c r="I52" s="22"/>
      <c r="J52" s="22"/>
      <c r="K52" s="22"/>
      <c r="L52" s="22"/>
      <c r="M52" s="22"/>
      <c r="N52" s="24"/>
      <c r="O52" s="22" t="s">
        <v>42</v>
      </c>
      <c r="P52" s="22" t="s">
        <v>42</v>
      </c>
      <c r="Q52" s="22" t="s">
        <v>42</v>
      </c>
      <c r="R52" s="22" t="s">
        <v>42</v>
      </c>
      <c r="S52" s="22" t="s">
        <v>42</v>
      </c>
      <c r="T52" s="22" t="s">
        <v>42</v>
      </c>
      <c r="U52" s="23"/>
      <c r="V52" s="22"/>
      <c r="W52" s="22"/>
      <c r="X52" s="22"/>
      <c r="Y52" s="25"/>
      <c r="Z52" s="26"/>
      <c r="AA52" s="26"/>
      <c r="AC52" t="s">
        <v>792</v>
      </c>
    </row>
    <row r="53" spans="1:29" x14ac:dyDescent="0.25">
      <c r="A53" s="20" t="s">
        <v>144</v>
      </c>
      <c r="B53" s="21" t="s">
        <v>145</v>
      </c>
      <c r="D53" s="22"/>
      <c r="E53" s="22"/>
      <c r="F53" s="22"/>
      <c r="G53" s="23"/>
      <c r="H53" s="22"/>
      <c r="I53" s="22"/>
      <c r="J53" s="22"/>
      <c r="K53" s="22"/>
      <c r="L53" s="22"/>
      <c r="M53" s="22"/>
      <c r="N53" s="24"/>
      <c r="O53" s="22" t="s">
        <v>82</v>
      </c>
      <c r="P53" s="22" t="s">
        <v>82</v>
      </c>
      <c r="Q53" s="22"/>
      <c r="R53" s="22"/>
      <c r="S53" s="22"/>
      <c r="T53" s="22"/>
      <c r="U53" s="23"/>
      <c r="V53" s="22"/>
      <c r="W53" s="22"/>
      <c r="X53" s="22"/>
      <c r="Y53" s="25"/>
      <c r="Z53" s="26"/>
      <c r="AA53" s="26"/>
      <c r="AC53" t="s">
        <v>806</v>
      </c>
    </row>
    <row r="54" spans="1:29" x14ac:dyDescent="0.25">
      <c r="A54" s="20" t="s">
        <v>146</v>
      </c>
      <c r="B54" s="21" t="s">
        <v>147</v>
      </c>
      <c r="D54" s="14"/>
      <c r="E54" s="14"/>
      <c r="F54" s="14"/>
      <c r="G54" s="15"/>
      <c r="H54" s="14"/>
      <c r="I54" s="14"/>
      <c r="J54" s="14"/>
      <c r="K54" s="14"/>
      <c r="L54" s="14"/>
      <c r="M54" s="14"/>
      <c r="N54" s="16"/>
      <c r="O54" s="22" t="s">
        <v>82</v>
      </c>
      <c r="P54" s="22" t="s">
        <v>82</v>
      </c>
      <c r="Q54" s="22"/>
      <c r="R54" s="22"/>
      <c r="S54" s="22"/>
      <c r="T54" s="22"/>
      <c r="U54" s="23"/>
      <c r="V54" s="22"/>
      <c r="W54" s="22"/>
      <c r="X54" s="22"/>
      <c r="AC54" t="s">
        <v>807</v>
      </c>
    </row>
    <row r="55" spans="1:29" x14ac:dyDescent="0.25">
      <c r="A55" s="20" t="s">
        <v>148</v>
      </c>
      <c r="B55" s="21" t="s">
        <v>149</v>
      </c>
      <c r="D55" s="14"/>
      <c r="E55" s="14"/>
      <c r="F55" s="14"/>
      <c r="G55" s="15"/>
      <c r="H55" s="14"/>
      <c r="I55" s="14"/>
      <c r="J55" s="14"/>
      <c r="K55" s="14"/>
      <c r="L55" s="14"/>
      <c r="M55" s="14"/>
      <c r="N55" s="16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9" x14ac:dyDescent="0.25">
      <c r="A56" s="20" t="s">
        <v>150</v>
      </c>
      <c r="B56" s="21" t="s">
        <v>151</v>
      </c>
      <c r="D56" s="22"/>
      <c r="E56" s="22"/>
      <c r="F56" s="22"/>
      <c r="G56" s="23"/>
      <c r="H56" s="22"/>
      <c r="I56" s="22"/>
      <c r="J56" s="22"/>
      <c r="K56" s="22"/>
      <c r="L56" s="22"/>
      <c r="M56" s="22"/>
      <c r="N56" s="24"/>
      <c r="O56" s="22" t="s">
        <v>42</v>
      </c>
      <c r="P56" s="22" t="s">
        <v>42</v>
      </c>
      <c r="Q56" s="22"/>
      <c r="R56" s="22"/>
      <c r="S56" s="22"/>
      <c r="T56" s="22"/>
      <c r="U56" s="23"/>
      <c r="V56" s="22"/>
      <c r="W56" s="22"/>
      <c r="X56" s="22"/>
      <c r="Y56" s="25"/>
      <c r="Z56" s="26"/>
      <c r="AA56" s="26"/>
      <c r="AC56" t="s">
        <v>793</v>
      </c>
    </row>
    <row r="57" spans="1:29" x14ac:dyDescent="0.25">
      <c r="A57" s="20" t="s">
        <v>152</v>
      </c>
      <c r="B57" s="21" t="s">
        <v>153</v>
      </c>
      <c r="D57" s="22"/>
      <c r="E57" s="22"/>
      <c r="F57" s="22"/>
      <c r="G57" s="23"/>
      <c r="H57" s="22"/>
      <c r="I57" s="22"/>
      <c r="J57" s="22"/>
      <c r="K57" s="22"/>
      <c r="L57" s="22"/>
      <c r="M57" s="22"/>
      <c r="N57" s="24"/>
      <c r="O57" s="22" t="s">
        <v>42</v>
      </c>
      <c r="P57" s="22" t="s">
        <v>42</v>
      </c>
      <c r="Q57" s="22" t="s">
        <v>42</v>
      </c>
      <c r="R57" s="22" t="s">
        <v>42</v>
      </c>
      <c r="S57" s="22" t="s">
        <v>42</v>
      </c>
      <c r="T57" s="22" t="s">
        <v>42</v>
      </c>
      <c r="U57" s="23" t="s">
        <v>42</v>
      </c>
      <c r="V57" s="22" t="s">
        <v>42</v>
      </c>
      <c r="W57" s="22" t="s">
        <v>42</v>
      </c>
      <c r="X57" s="22" t="s">
        <v>42</v>
      </c>
      <c r="Y57" s="25"/>
      <c r="Z57" s="26"/>
      <c r="AA57" s="26"/>
      <c r="AC57" t="s">
        <v>794</v>
      </c>
    </row>
    <row r="58" spans="1:29" x14ac:dyDescent="0.25">
      <c r="A58" s="20" t="s">
        <v>154</v>
      </c>
      <c r="B58" s="21" t="s">
        <v>155</v>
      </c>
      <c r="D58" s="14"/>
      <c r="E58" s="14"/>
      <c r="F58" s="14"/>
      <c r="G58" s="15"/>
      <c r="H58" s="14"/>
      <c r="I58" s="14"/>
      <c r="J58" s="14"/>
      <c r="K58" s="14"/>
      <c r="L58" s="14"/>
      <c r="M58" s="14"/>
      <c r="N58" s="16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9" x14ac:dyDescent="0.25">
      <c r="A59" s="20" t="s">
        <v>156</v>
      </c>
      <c r="B59" s="21" t="s">
        <v>157</v>
      </c>
      <c r="D59" s="22"/>
      <c r="E59" s="22"/>
      <c r="F59" s="22"/>
      <c r="G59" s="23"/>
      <c r="H59" s="22"/>
      <c r="I59" s="22"/>
      <c r="J59" s="22"/>
      <c r="K59" s="22"/>
      <c r="L59" s="22"/>
      <c r="M59" s="22"/>
      <c r="N59" s="24"/>
      <c r="O59" s="22" t="s">
        <v>42</v>
      </c>
      <c r="P59" s="22" t="s">
        <v>42</v>
      </c>
      <c r="Q59" s="22" t="s">
        <v>42</v>
      </c>
      <c r="R59" s="22" t="s">
        <v>42</v>
      </c>
      <c r="S59" s="22" t="s">
        <v>42</v>
      </c>
      <c r="T59" s="22" t="s">
        <v>42</v>
      </c>
      <c r="U59" s="23" t="s">
        <v>42</v>
      </c>
      <c r="V59" s="22" t="s">
        <v>42</v>
      </c>
      <c r="W59" s="22" t="s">
        <v>42</v>
      </c>
      <c r="X59" s="22" t="s">
        <v>42</v>
      </c>
      <c r="Y59" s="25"/>
      <c r="Z59" s="26"/>
      <c r="AA59" s="26"/>
      <c r="AC59" t="s">
        <v>795</v>
      </c>
    </row>
    <row r="60" spans="1:29" x14ac:dyDescent="0.25">
      <c r="A60" s="20" t="s">
        <v>158</v>
      </c>
      <c r="B60" s="21" t="s">
        <v>159</v>
      </c>
      <c r="D60" s="22"/>
      <c r="E60" s="22"/>
      <c r="F60" s="22"/>
      <c r="G60" s="23"/>
      <c r="H60" s="22"/>
      <c r="I60" s="22"/>
      <c r="J60" s="22"/>
      <c r="K60" s="22"/>
      <c r="L60" s="22"/>
      <c r="M60" s="22"/>
      <c r="N60" s="24"/>
      <c r="O60" s="22" t="s">
        <v>42</v>
      </c>
      <c r="P60" s="22" t="s">
        <v>42</v>
      </c>
      <c r="Q60" s="22" t="s">
        <v>42</v>
      </c>
      <c r="R60" s="22" t="s">
        <v>42</v>
      </c>
      <c r="S60" s="22" t="s">
        <v>42</v>
      </c>
      <c r="T60" s="22" t="s">
        <v>42</v>
      </c>
      <c r="U60" s="23" t="s">
        <v>42</v>
      </c>
      <c r="V60" s="22" t="s">
        <v>42</v>
      </c>
      <c r="W60" s="22" t="s">
        <v>42</v>
      </c>
      <c r="X60" s="22" t="s">
        <v>42</v>
      </c>
      <c r="Y60" s="25"/>
      <c r="Z60" s="26"/>
      <c r="AA60" s="26"/>
      <c r="AC60" t="s">
        <v>796</v>
      </c>
    </row>
    <row r="61" spans="1:29" x14ac:dyDescent="0.25">
      <c r="A61" s="20" t="s">
        <v>160</v>
      </c>
      <c r="B61" s="21" t="s">
        <v>161</v>
      </c>
      <c r="D61" s="22"/>
      <c r="E61" s="22"/>
      <c r="F61" s="22"/>
      <c r="G61" s="23"/>
      <c r="H61" s="22"/>
      <c r="I61" s="22"/>
      <c r="J61" s="22"/>
      <c r="K61" s="22"/>
      <c r="L61" s="22"/>
      <c r="M61" s="22"/>
      <c r="N61" s="24"/>
      <c r="O61" s="22" t="s">
        <v>42</v>
      </c>
      <c r="P61" s="22" t="s">
        <v>42</v>
      </c>
      <c r="Q61" s="22" t="s">
        <v>42</v>
      </c>
      <c r="R61" s="22" t="s">
        <v>42</v>
      </c>
      <c r="S61" s="22" t="s">
        <v>42</v>
      </c>
      <c r="T61" s="22" t="s">
        <v>42</v>
      </c>
      <c r="U61" s="23" t="s">
        <v>42</v>
      </c>
      <c r="V61" s="22" t="s">
        <v>42</v>
      </c>
      <c r="W61" s="22" t="s">
        <v>42</v>
      </c>
      <c r="X61" s="22" t="s">
        <v>42</v>
      </c>
      <c r="Y61" s="25"/>
      <c r="Z61" s="26"/>
      <c r="AA61" s="26"/>
      <c r="AC61" t="s">
        <v>797</v>
      </c>
    </row>
    <row r="62" spans="1:29" ht="60" x14ac:dyDescent="0.25">
      <c r="A62" s="11">
        <v>2</v>
      </c>
      <c r="B62" s="12" t="s">
        <v>162</v>
      </c>
      <c r="D62" s="14"/>
      <c r="E62" s="14"/>
      <c r="F62" s="14"/>
      <c r="G62" s="15"/>
      <c r="H62" s="14"/>
      <c r="I62" s="14"/>
      <c r="J62" s="14"/>
      <c r="K62" s="14"/>
      <c r="L62" s="14"/>
      <c r="M62" s="14"/>
      <c r="N62" s="16"/>
      <c r="O62" s="14"/>
      <c r="P62" s="14"/>
      <c r="Q62" s="14"/>
      <c r="R62" s="14"/>
      <c r="S62" s="14"/>
      <c r="T62" s="14"/>
      <c r="U62" s="15"/>
      <c r="V62" s="14"/>
      <c r="W62" s="14"/>
      <c r="X62" s="14"/>
    </row>
    <row r="63" spans="1:29" x14ac:dyDescent="0.25">
      <c r="A63" s="18" t="s">
        <v>163</v>
      </c>
      <c r="B63" s="19" t="s">
        <v>164</v>
      </c>
      <c r="D63" s="14"/>
      <c r="E63" s="14"/>
      <c r="F63" s="14"/>
      <c r="G63" s="15"/>
      <c r="H63" s="14"/>
      <c r="I63" s="14"/>
      <c r="J63" s="14"/>
      <c r="K63" s="14"/>
      <c r="L63" s="14"/>
      <c r="M63" s="14"/>
      <c r="N63" s="16"/>
      <c r="O63" s="14"/>
      <c r="P63" s="14"/>
      <c r="Q63" s="14"/>
      <c r="R63" s="14"/>
      <c r="S63" s="14"/>
      <c r="T63" s="14"/>
      <c r="U63" s="15"/>
      <c r="V63" s="14"/>
      <c r="W63" s="14"/>
      <c r="X63" s="14"/>
    </row>
    <row r="64" spans="1:29" x14ac:dyDescent="0.25">
      <c r="A64" s="28" t="s">
        <v>165</v>
      </c>
      <c r="B64" s="21" t="s">
        <v>166</v>
      </c>
      <c r="D64" s="22" t="s">
        <v>42</v>
      </c>
      <c r="E64" s="22" t="s">
        <v>42</v>
      </c>
      <c r="F64" s="22" t="s">
        <v>42</v>
      </c>
      <c r="G64" s="23" t="s">
        <v>42</v>
      </c>
      <c r="H64" s="22" t="s">
        <v>42</v>
      </c>
      <c r="I64" s="22" t="s">
        <v>42</v>
      </c>
      <c r="J64" s="22" t="s">
        <v>42</v>
      </c>
      <c r="K64" s="22" t="s">
        <v>42</v>
      </c>
      <c r="L64" s="22" t="s">
        <v>42</v>
      </c>
      <c r="M64" s="22" t="s">
        <v>42</v>
      </c>
      <c r="N64" s="24"/>
      <c r="O64" s="23" t="s">
        <v>42</v>
      </c>
      <c r="P64" s="23" t="s">
        <v>42</v>
      </c>
      <c r="Q64" s="23" t="s">
        <v>42</v>
      </c>
      <c r="R64" s="23" t="s">
        <v>42</v>
      </c>
      <c r="S64" s="23" t="s">
        <v>42</v>
      </c>
      <c r="T64" s="23" t="s">
        <v>42</v>
      </c>
      <c r="U64" s="23" t="s">
        <v>42</v>
      </c>
      <c r="V64" s="23" t="s">
        <v>42</v>
      </c>
      <c r="W64" s="23" t="s">
        <v>42</v>
      </c>
      <c r="X64" s="23" t="s">
        <v>42</v>
      </c>
      <c r="Y64" s="25"/>
      <c r="AC64" t="s">
        <v>715</v>
      </c>
    </row>
    <row r="65" spans="1:29" x14ac:dyDescent="0.25">
      <c r="A65" s="28" t="s">
        <v>167</v>
      </c>
      <c r="B65" s="21" t="s">
        <v>168</v>
      </c>
      <c r="D65" s="22" t="s">
        <v>42</v>
      </c>
      <c r="E65" s="22" t="s">
        <v>42</v>
      </c>
      <c r="F65" s="22" t="s">
        <v>42</v>
      </c>
      <c r="G65" s="23" t="s">
        <v>42</v>
      </c>
      <c r="H65" s="22" t="s">
        <v>42</v>
      </c>
      <c r="I65" s="22" t="s">
        <v>42</v>
      </c>
      <c r="J65" s="22" t="s">
        <v>42</v>
      </c>
      <c r="K65" s="22" t="s">
        <v>42</v>
      </c>
      <c r="L65" s="22" t="s">
        <v>42</v>
      </c>
      <c r="M65" s="22" t="s">
        <v>42</v>
      </c>
      <c r="N65" s="24"/>
      <c r="O65" s="14"/>
      <c r="P65" s="14"/>
      <c r="Q65" s="14"/>
      <c r="R65" s="14"/>
      <c r="S65" s="14"/>
      <c r="T65" s="14"/>
      <c r="U65" s="15"/>
      <c r="V65" s="14"/>
      <c r="W65" s="14"/>
      <c r="X65" s="14"/>
      <c r="Y65" s="25"/>
      <c r="AC65" t="s">
        <v>716</v>
      </c>
    </row>
    <row r="66" spans="1:29" x14ac:dyDescent="0.25">
      <c r="A66" s="28" t="s">
        <v>169</v>
      </c>
      <c r="B66" s="21" t="s">
        <v>170</v>
      </c>
      <c r="D66" s="14"/>
      <c r="E66" s="14"/>
      <c r="F66" s="14"/>
      <c r="G66" s="15"/>
      <c r="H66" s="14"/>
      <c r="I66" s="14"/>
      <c r="J66" s="14"/>
      <c r="K66" s="14"/>
      <c r="L66" s="14"/>
      <c r="M66" s="14"/>
      <c r="N66" s="16"/>
      <c r="O66" s="14"/>
      <c r="P66" s="14"/>
      <c r="Q66" s="14"/>
      <c r="R66" s="14"/>
      <c r="S66" s="14"/>
      <c r="T66" s="14"/>
      <c r="U66" s="15"/>
      <c r="V66" s="14"/>
      <c r="W66" s="14"/>
      <c r="X66" s="14"/>
    </row>
    <row r="67" spans="1:29" x14ac:dyDescent="0.25">
      <c r="A67" s="20" t="s">
        <v>171</v>
      </c>
      <c r="B67" s="21" t="s">
        <v>172</v>
      </c>
      <c r="D67" s="22"/>
      <c r="E67" s="22"/>
      <c r="F67" s="22"/>
      <c r="G67" s="23"/>
      <c r="H67" s="22"/>
      <c r="I67" s="22"/>
      <c r="J67" s="22"/>
      <c r="K67" s="22"/>
      <c r="L67" s="22"/>
      <c r="M67" s="22"/>
      <c r="N67" s="24"/>
      <c r="O67" s="23" t="s">
        <v>42</v>
      </c>
      <c r="P67" s="23" t="s">
        <v>42</v>
      </c>
      <c r="Q67" s="23" t="s">
        <v>42</v>
      </c>
      <c r="R67" s="23" t="s">
        <v>42</v>
      </c>
      <c r="S67" s="23" t="s">
        <v>42</v>
      </c>
      <c r="T67" s="23" t="s">
        <v>42</v>
      </c>
      <c r="U67" s="23" t="s">
        <v>42</v>
      </c>
      <c r="V67" s="23" t="s">
        <v>42</v>
      </c>
      <c r="W67" s="23" t="s">
        <v>42</v>
      </c>
      <c r="X67" s="23" t="s">
        <v>42</v>
      </c>
      <c r="Y67" s="25"/>
      <c r="Z67" s="26"/>
      <c r="AA67" s="26"/>
      <c r="AC67" t="s">
        <v>717</v>
      </c>
    </row>
    <row r="68" spans="1:29" x14ac:dyDescent="0.25">
      <c r="A68" s="20" t="s">
        <v>173</v>
      </c>
      <c r="B68" s="21" t="s">
        <v>174</v>
      </c>
      <c r="D68" s="22"/>
      <c r="E68" s="22"/>
      <c r="F68" s="22"/>
      <c r="G68" s="23"/>
      <c r="H68" s="22"/>
      <c r="I68" s="22"/>
      <c r="J68" s="22"/>
      <c r="K68" s="22"/>
      <c r="L68" s="22"/>
      <c r="M68" s="22"/>
      <c r="N68" s="24"/>
      <c r="O68" s="23" t="s">
        <v>42</v>
      </c>
      <c r="P68" s="23" t="s">
        <v>42</v>
      </c>
      <c r="Q68" s="23" t="s">
        <v>42</v>
      </c>
      <c r="R68" s="23" t="s">
        <v>42</v>
      </c>
      <c r="S68" s="23" t="s">
        <v>42</v>
      </c>
      <c r="T68" s="23" t="s">
        <v>42</v>
      </c>
      <c r="U68" s="23" t="s">
        <v>42</v>
      </c>
      <c r="V68" s="23" t="s">
        <v>42</v>
      </c>
      <c r="W68" s="23" t="s">
        <v>42</v>
      </c>
      <c r="X68" s="23" t="s">
        <v>42</v>
      </c>
      <c r="Y68" s="25"/>
      <c r="Z68" s="26"/>
      <c r="AA68" s="26"/>
      <c r="AC68" t="s">
        <v>718</v>
      </c>
    </row>
    <row r="69" spans="1:29" x14ac:dyDescent="0.25">
      <c r="A69" s="28" t="s">
        <v>175</v>
      </c>
      <c r="B69" s="21" t="s">
        <v>176</v>
      </c>
      <c r="D69" s="22" t="s">
        <v>42</v>
      </c>
      <c r="E69" s="22" t="s">
        <v>42</v>
      </c>
      <c r="F69" s="22" t="s">
        <v>42</v>
      </c>
      <c r="G69" s="23" t="s">
        <v>42</v>
      </c>
      <c r="H69" s="22" t="s">
        <v>42</v>
      </c>
      <c r="I69" s="22" t="s">
        <v>42</v>
      </c>
      <c r="J69" s="22" t="s">
        <v>42</v>
      </c>
      <c r="K69" s="22" t="s">
        <v>42</v>
      </c>
      <c r="L69" s="22" t="s">
        <v>42</v>
      </c>
      <c r="M69" s="22" t="s">
        <v>42</v>
      </c>
      <c r="N69" s="24"/>
      <c r="O69" s="23" t="s">
        <v>42</v>
      </c>
      <c r="P69" s="23" t="s">
        <v>42</v>
      </c>
      <c r="Q69" s="23" t="s">
        <v>42</v>
      </c>
      <c r="R69" s="23" t="s">
        <v>42</v>
      </c>
      <c r="S69" s="23" t="s">
        <v>42</v>
      </c>
      <c r="T69" s="23" t="s">
        <v>42</v>
      </c>
      <c r="U69" s="23" t="s">
        <v>42</v>
      </c>
      <c r="V69" s="23" t="s">
        <v>42</v>
      </c>
      <c r="W69" s="23" t="s">
        <v>42</v>
      </c>
      <c r="X69" s="23" t="s">
        <v>42</v>
      </c>
      <c r="Y69" s="25"/>
      <c r="Z69" s="26"/>
      <c r="AA69" s="26"/>
      <c r="AC69" t="s">
        <v>798</v>
      </c>
    </row>
    <row r="70" spans="1:29" x14ac:dyDescent="0.25">
      <c r="A70" s="20" t="s">
        <v>177</v>
      </c>
      <c r="B70" s="21" t="s">
        <v>178</v>
      </c>
      <c r="C70" t="s">
        <v>179</v>
      </c>
      <c r="D70" s="22"/>
      <c r="E70" s="22" t="s">
        <v>82</v>
      </c>
      <c r="F70" s="22" t="s">
        <v>82</v>
      </c>
      <c r="G70" s="23" t="s">
        <v>82</v>
      </c>
      <c r="H70" s="22" t="s">
        <v>82</v>
      </c>
      <c r="I70" s="22" t="s">
        <v>82</v>
      </c>
      <c r="J70" s="22"/>
      <c r="K70" s="22"/>
      <c r="L70" s="22"/>
      <c r="M70" s="22"/>
      <c r="N70" s="24"/>
      <c r="O70" s="23"/>
      <c r="P70" s="23" t="s">
        <v>82</v>
      </c>
      <c r="Q70" s="23" t="s">
        <v>82</v>
      </c>
      <c r="R70" s="23" t="s">
        <v>82</v>
      </c>
      <c r="S70" s="23" t="s">
        <v>82</v>
      </c>
      <c r="T70" s="23" t="s">
        <v>82</v>
      </c>
      <c r="U70" s="23"/>
      <c r="V70" s="23"/>
      <c r="W70" s="23"/>
      <c r="X70" s="23"/>
      <c r="Y70" s="25"/>
      <c r="Z70" s="26"/>
      <c r="AA70" s="26"/>
      <c r="AB70" s="26"/>
      <c r="AC70" s="80" t="s">
        <v>744</v>
      </c>
    </row>
    <row r="71" spans="1:29" x14ac:dyDescent="0.25">
      <c r="A71" s="20" t="s">
        <v>180</v>
      </c>
      <c r="B71" s="21" t="s">
        <v>181</v>
      </c>
      <c r="C71" t="s">
        <v>182</v>
      </c>
      <c r="D71" s="22" t="s">
        <v>42</v>
      </c>
      <c r="E71" s="22" t="s">
        <v>42</v>
      </c>
      <c r="F71" s="22" t="s">
        <v>42</v>
      </c>
      <c r="G71" s="23" t="s">
        <v>42</v>
      </c>
      <c r="H71" s="22" t="s">
        <v>42</v>
      </c>
      <c r="I71" s="22" t="s">
        <v>42</v>
      </c>
      <c r="J71" s="22" t="s">
        <v>42</v>
      </c>
      <c r="K71" s="22" t="s">
        <v>42</v>
      </c>
      <c r="L71" s="22" t="s">
        <v>42</v>
      </c>
      <c r="M71" s="22" t="s">
        <v>42</v>
      </c>
      <c r="N71" s="24"/>
      <c r="O71" s="23" t="s">
        <v>42</v>
      </c>
      <c r="P71" s="23" t="s">
        <v>42</v>
      </c>
      <c r="Q71" s="23" t="s">
        <v>42</v>
      </c>
      <c r="R71" s="23" t="s">
        <v>42</v>
      </c>
      <c r="S71" s="23" t="s">
        <v>42</v>
      </c>
      <c r="T71" s="23" t="s">
        <v>42</v>
      </c>
      <c r="U71" s="23" t="s">
        <v>42</v>
      </c>
      <c r="V71" s="23" t="s">
        <v>42</v>
      </c>
      <c r="W71" s="23" t="s">
        <v>42</v>
      </c>
      <c r="X71" s="23" t="s">
        <v>42</v>
      </c>
      <c r="Y71" s="25"/>
      <c r="AC71" t="s">
        <v>720</v>
      </c>
    </row>
    <row r="72" spans="1:29" ht="30" x14ac:dyDescent="0.25">
      <c r="A72" s="18" t="s">
        <v>183</v>
      </c>
      <c r="B72" s="19" t="s">
        <v>184</v>
      </c>
      <c r="D72" s="14"/>
      <c r="E72" s="14"/>
      <c r="F72" s="14"/>
      <c r="G72" s="15"/>
      <c r="H72" s="14"/>
      <c r="I72" s="14"/>
      <c r="J72" s="14"/>
      <c r="K72" s="14"/>
      <c r="L72" s="14"/>
      <c r="M72" s="14"/>
      <c r="N72" s="16"/>
      <c r="O72" s="14"/>
      <c r="P72" s="14"/>
      <c r="Q72" s="14"/>
      <c r="R72" s="14"/>
      <c r="S72" s="14"/>
      <c r="T72" s="14"/>
      <c r="U72" s="15"/>
      <c r="V72" s="14"/>
      <c r="W72" s="14"/>
      <c r="X72" s="14"/>
    </row>
    <row r="73" spans="1:29" x14ac:dyDescent="0.25">
      <c r="A73" s="20" t="s">
        <v>185</v>
      </c>
      <c r="B73" s="21" t="s">
        <v>186</v>
      </c>
      <c r="C73" s="21"/>
      <c r="D73" s="22" t="s">
        <v>42</v>
      </c>
      <c r="E73" s="22" t="s">
        <v>42</v>
      </c>
      <c r="F73" s="22" t="s">
        <v>42</v>
      </c>
      <c r="G73" s="23" t="s">
        <v>42</v>
      </c>
      <c r="H73" s="22" t="s">
        <v>42</v>
      </c>
      <c r="I73" s="22" t="s">
        <v>42</v>
      </c>
      <c r="J73" s="14"/>
      <c r="K73" s="14"/>
      <c r="L73" s="14"/>
      <c r="M73" s="14"/>
      <c r="N73" s="24"/>
      <c r="O73" s="23" t="s">
        <v>42</v>
      </c>
      <c r="P73" s="23" t="s">
        <v>42</v>
      </c>
      <c r="Q73" s="23" t="s">
        <v>42</v>
      </c>
      <c r="R73" s="23" t="s">
        <v>42</v>
      </c>
      <c r="S73" s="23" t="s">
        <v>42</v>
      </c>
      <c r="T73" s="23" t="s">
        <v>42</v>
      </c>
      <c r="U73" s="15"/>
      <c r="V73" s="15"/>
      <c r="W73" s="15"/>
      <c r="X73" s="15"/>
      <c r="Y73" s="25"/>
      <c r="AC73" t="s">
        <v>732</v>
      </c>
    </row>
    <row r="74" spans="1:29" x14ac:dyDescent="0.25">
      <c r="A74" s="20" t="s">
        <v>187</v>
      </c>
      <c r="B74" s="21" t="s">
        <v>188</v>
      </c>
      <c r="C74" s="21"/>
      <c r="D74" s="22" t="s">
        <v>42</v>
      </c>
      <c r="E74" s="22" t="s">
        <v>42</v>
      </c>
      <c r="F74" s="22" t="s">
        <v>42</v>
      </c>
      <c r="G74" s="23" t="s">
        <v>42</v>
      </c>
      <c r="H74" s="22" t="s">
        <v>42</v>
      </c>
      <c r="I74" s="22" t="s">
        <v>42</v>
      </c>
      <c r="J74" s="14"/>
      <c r="K74" s="14"/>
      <c r="L74" s="14"/>
      <c r="M74" s="14"/>
      <c r="N74" s="24"/>
      <c r="O74" s="23"/>
      <c r="P74" s="23"/>
      <c r="Q74" s="23"/>
      <c r="R74" s="23"/>
      <c r="S74" s="23"/>
      <c r="T74" s="23"/>
      <c r="U74" s="15"/>
      <c r="V74" s="15"/>
      <c r="W74" s="15"/>
      <c r="X74" s="15"/>
      <c r="Y74" s="25"/>
      <c r="AC74" t="s">
        <v>733</v>
      </c>
    </row>
    <row r="75" spans="1:29" x14ac:dyDescent="0.25">
      <c r="A75" s="20" t="s">
        <v>189</v>
      </c>
      <c r="B75" s="21" t="s">
        <v>190</v>
      </c>
      <c r="C75" s="21"/>
      <c r="D75" s="22"/>
      <c r="E75" s="22"/>
      <c r="F75" s="22"/>
      <c r="G75" s="23"/>
      <c r="H75" s="22"/>
      <c r="I75" s="22"/>
      <c r="J75" s="14"/>
      <c r="K75" s="14"/>
      <c r="L75" s="14"/>
      <c r="M75" s="14"/>
      <c r="N75" s="24"/>
      <c r="O75" s="23" t="s">
        <v>42</v>
      </c>
      <c r="P75" s="23" t="s">
        <v>42</v>
      </c>
      <c r="Q75" s="23" t="s">
        <v>42</v>
      </c>
      <c r="R75" s="23" t="s">
        <v>42</v>
      </c>
      <c r="S75" s="23" t="s">
        <v>42</v>
      </c>
      <c r="T75" s="23" t="s">
        <v>42</v>
      </c>
      <c r="U75" s="15"/>
      <c r="V75" s="15"/>
      <c r="W75" s="15"/>
      <c r="X75" s="15"/>
      <c r="Y75" s="25"/>
      <c r="AC75" t="s">
        <v>734</v>
      </c>
    </row>
    <row r="76" spans="1:29" x14ac:dyDescent="0.25">
      <c r="A76" s="20" t="s">
        <v>191</v>
      </c>
      <c r="B76" s="21" t="s">
        <v>192</v>
      </c>
      <c r="C76" s="21"/>
      <c r="D76" s="22" t="s">
        <v>42</v>
      </c>
      <c r="E76" s="22" t="s">
        <v>42</v>
      </c>
      <c r="F76" s="22" t="s">
        <v>42</v>
      </c>
      <c r="G76" s="23" t="s">
        <v>42</v>
      </c>
      <c r="H76" s="22" t="s">
        <v>42</v>
      </c>
      <c r="I76" s="22" t="s">
        <v>42</v>
      </c>
      <c r="J76" s="14"/>
      <c r="K76" s="14"/>
      <c r="L76" s="14"/>
      <c r="M76" s="14"/>
      <c r="N76" s="24"/>
      <c r="O76" s="23"/>
      <c r="P76" s="23"/>
      <c r="Q76" s="23"/>
      <c r="R76" s="23"/>
      <c r="S76" s="23"/>
      <c r="T76" s="23"/>
      <c r="U76" s="15"/>
      <c r="V76" s="15"/>
      <c r="W76" s="15"/>
      <c r="X76" s="15"/>
      <c r="Y76" s="25"/>
      <c r="AC76" t="s">
        <v>735</v>
      </c>
    </row>
    <row r="77" spans="1:29" x14ac:dyDescent="0.25">
      <c r="A77" s="20" t="s">
        <v>193</v>
      </c>
      <c r="B77" s="21" t="s">
        <v>194</v>
      </c>
      <c r="C77" s="21" t="s">
        <v>195</v>
      </c>
      <c r="D77" s="22" t="s">
        <v>82</v>
      </c>
      <c r="E77" s="22" t="s">
        <v>82</v>
      </c>
      <c r="F77" s="22" t="s">
        <v>82</v>
      </c>
      <c r="G77" s="22" t="s">
        <v>82</v>
      </c>
      <c r="H77" s="22" t="s">
        <v>82</v>
      </c>
      <c r="I77" s="22" t="s">
        <v>82</v>
      </c>
      <c r="J77" s="14"/>
      <c r="K77" s="14"/>
      <c r="L77" s="14"/>
      <c r="M77" s="14"/>
      <c r="N77" s="24"/>
      <c r="O77" s="22" t="s">
        <v>82</v>
      </c>
      <c r="P77" s="22" t="s">
        <v>82</v>
      </c>
      <c r="Q77" s="22" t="s">
        <v>82</v>
      </c>
      <c r="R77" s="22" t="s">
        <v>82</v>
      </c>
      <c r="S77" s="22" t="s">
        <v>82</v>
      </c>
      <c r="T77" s="22" t="s">
        <v>82</v>
      </c>
      <c r="U77" s="15"/>
      <c r="V77" s="15"/>
      <c r="W77" s="15"/>
      <c r="X77" s="15"/>
      <c r="Y77" s="25"/>
      <c r="AC77" t="s">
        <v>736</v>
      </c>
    </row>
    <row r="78" spans="1:29" x14ac:dyDescent="0.25">
      <c r="A78" s="20" t="s">
        <v>196</v>
      </c>
      <c r="B78" s="21" t="s">
        <v>197</v>
      </c>
      <c r="C78" s="21" t="s">
        <v>195</v>
      </c>
      <c r="D78" s="22" t="s">
        <v>82</v>
      </c>
      <c r="E78" s="22" t="s">
        <v>82</v>
      </c>
      <c r="F78" s="22" t="s">
        <v>82</v>
      </c>
      <c r="G78" s="22" t="s">
        <v>82</v>
      </c>
      <c r="H78" s="22" t="s">
        <v>82</v>
      </c>
      <c r="I78" s="22" t="s">
        <v>82</v>
      </c>
      <c r="J78" s="14"/>
      <c r="K78" s="14"/>
      <c r="L78" s="14"/>
      <c r="M78" s="14"/>
      <c r="N78" s="24"/>
      <c r="O78" s="23"/>
      <c r="P78" s="23"/>
      <c r="Q78" s="23"/>
      <c r="R78" s="23"/>
      <c r="S78" s="23"/>
      <c r="T78" s="23"/>
      <c r="U78" s="15"/>
      <c r="V78" s="15"/>
      <c r="W78" s="15"/>
      <c r="X78" s="15"/>
      <c r="Y78" s="25"/>
      <c r="AC78" t="s">
        <v>737</v>
      </c>
    </row>
    <row r="79" spans="1:29" x14ac:dyDescent="0.25">
      <c r="A79" s="20" t="s">
        <v>198</v>
      </c>
      <c r="B79" s="21" t="s">
        <v>199</v>
      </c>
      <c r="C79" s="21" t="s">
        <v>195</v>
      </c>
      <c r="D79" s="22"/>
      <c r="E79" s="22"/>
      <c r="F79" s="22"/>
      <c r="G79" s="22"/>
      <c r="H79" s="22"/>
      <c r="I79" s="22"/>
      <c r="J79" s="14"/>
      <c r="K79" s="14"/>
      <c r="L79" s="14"/>
      <c r="M79" s="14"/>
      <c r="N79" s="24"/>
      <c r="O79" s="22" t="s">
        <v>82</v>
      </c>
      <c r="P79" s="22" t="s">
        <v>82</v>
      </c>
      <c r="Q79" s="22" t="s">
        <v>82</v>
      </c>
      <c r="R79" s="22" t="s">
        <v>82</v>
      </c>
      <c r="S79" s="22" t="s">
        <v>82</v>
      </c>
      <c r="T79" s="22" t="s">
        <v>82</v>
      </c>
      <c r="U79" s="15"/>
      <c r="V79" s="15"/>
      <c r="W79" s="15"/>
      <c r="X79" s="15"/>
      <c r="Y79" s="25"/>
      <c r="AC79" t="s">
        <v>738</v>
      </c>
    </row>
    <row r="80" spans="1:29" x14ac:dyDescent="0.25">
      <c r="A80" s="20" t="s">
        <v>200</v>
      </c>
      <c r="B80" s="21" t="s">
        <v>201</v>
      </c>
      <c r="C80" s="21" t="s">
        <v>195</v>
      </c>
      <c r="D80" s="22" t="s">
        <v>82</v>
      </c>
      <c r="E80" s="22" t="s">
        <v>82</v>
      </c>
      <c r="F80" s="22" t="s">
        <v>82</v>
      </c>
      <c r="G80" s="22" t="s">
        <v>82</v>
      </c>
      <c r="H80" s="22" t="s">
        <v>82</v>
      </c>
      <c r="I80" s="22" t="s">
        <v>82</v>
      </c>
      <c r="J80" s="14"/>
      <c r="K80" s="14"/>
      <c r="L80" s="14"/>
      <c r="M80" s="14"/>
      <c r="N80" s="24"/>
      <c r="O80" s="23"/>
      <c r="P80" s="23"/>
      <c r="Q80" s="23"/>
      <c r="R80" s="23"/>
      <c r="S80" s="23"/>
      <c r="T80" s="23"/>
      <c r="U80" s="15"/>
      <c r="V80" s="15"/>
      <c r="W80" s="15"/>
      <c r="X80" s="15"/>
      <c r="Y80" s="25"/>
      <c r="AC80" t="s">
        <v>739</v>
      </c>
    </row>
    <row r="81" spans="1:29" x14ac:dyDescent="0.25">
      <c r="A81" s="20" t="s">
        <v>202</v>
      </c>
      <c r="B81" s="21" t="s">
        <v>203</v>
      </c>
      <c r="C81" s="21"/>
      <c r="D81" s="23" t="s">
        <v>42</v>
      </c>
      <c r="E81" s="23" t="s">
        <v>82</v>
      </c>
      <c r="F81" s="23" t="s">
        <v>82</v>
      </c>
      <c r="G81" s="23" t="s">
        <v>82</v>
      </c>
      <c r="H81" s="23" t="s">
        <v>82</v>
      </c>
      <c r="I81" s="23" t="s">
        <v>82</v>
      </c>
      <c r="J81" s="23" t="s">
        <v>42</v>
      </c>
      <c r="K81" s="23" t="s">
        <v>42</v>
      </c>
      <c r="L81" s="23" t="s">
        <v>42</v>
      </c>
      <c r="M81" s="23" t="s">
        <v>42</v>
      </c>
      <c r="N81" s="24"/>
      <c r="O81" s="23" t="s">
        <v>42</v>
      </c>
      <c r="P81" s="23" t="s">
        <v>82</v>
      </c>
      <c r="Q81" s="23" t="s">
        <v>82</v>
      </c>
      <c r="R81" s="23" t="s">
        <v>82</v>
      </c>
      <c r="S81" s="23" t="s">
        <v>82</v>
      </c>
      <c r="T81" s="23" t="s">
        <v>82</v>
      </c>
      <c r="U81" s="23" t="s">
        <v>42</v>
      </c>
      <c r="V81" s="23" t="s">
        <v>42</v>
      </c>
      <c r="W81" s="23" t="s">
        <v>42</v>
      </c>
      <c r="X81" s="23" t="s">
        <v>42</v>
      </c>
      <c r="Y81" s="25"/>
      <c r="AC81" t="s">
        <v>745</v>
      </c>
    </row>
    <row r="82" spans="1:29" x14ac:dyDescent="0.25">
      <c r="A82" s="20" t="s">
        <v>204</v>
      </c>
      <c r="B82" s="21" t="s">
        <v>205</v>
      </c>
      <c r="C82" s="21"/>
      <c r="D82" s="23" t="s">
        <v>42</v>
      </c>
      <c r="E82" s="23" t="s">
        <v>82</v>
      </c>
      <c r="F82" s="23" t="s">
        <v>82</v>
      </c>
      <c r="G82" s="23" t="s">
        <v>82</v>
      </c>
      <c r="H82" s="23" t="s">
        <v>82</v>
      </c>
      <c r="I82" s="23" t="s">
        <v>82</v>
      </c>
      <c r="J82" s="23" t="s">
        <v>42</v>
      </c>
      <c r="K82" s="23" t="s">
        <v>42</v>
      </c>
      <c r="L82" s="23" t="s">
        <v>42</v>
      </c>
      <c r="M82" s="23" t="s">
        <v>42</v>
      </c>
      <c r="N82" s="24"/>
      <c r="O82" s="23"/>
      <c r="P82" s="23"/>
      <c r="Q82" s="23"/>
      <c r="R82" s="23"/>
      <c r="S82" s="23"/>
      <c r="T82" s="23"/>
      <c r="U82" s="15"/>
      <c r="V82" s="15"/>
      <c r="W82" s="15"/>
      <c r="X82" s="15"/>
      <c r="Y82" s="25"/>
      <c r="AC82" t="s">
        <v>746</v>
      </c>
    </row>
    <row r="83" spans="1:29" x14ac:dyDescent="0.25">
      <c r="A83" s="20" t="s">
        <v>206</v>
      </c>
      <c r="B83" s="21" t="s">
        <v>207</v>
      </c>
      <c r="C83" s="21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3" t="s">
        <v>42</v>
      </c>
      <c r="P83" s="23" t="s">
        <v>82</v>
      </c>
      <c r="Q83" s="23" t="s">
        <v>82</v>
      </c>
      <c r="R83" s="23" t="s">
        <v>82</v>
      </c>
      <c r="S83" s="23" t="s">
        <v>82</v>
      </c>
      <c r="T83" s="23" t="s">
        <v>82</v>
      </c>
      <c r="U83" s="23" t="s">
        <v>42</v>
      </c>
      <c r="V83" s="23" t="s">
        <v>42</v>
      </c>
      <c r="W83" s="23" t="s">
        <v>42</v>
      </c>
      <c r="X83" s="23" t="s">
        <v>42</v>
      </c>
      <c r="Y83" s="25"/>
      <c r="AC83" t="s">
        <v>747</v>
      </c>
    </row>
    <row r="84" spans="1:29" x14ac:dyDescent="0.25">
      <c r="A84" s="20" t="s">
        <v>208</v>
      </c>
      <c r="B84" s="21" t="s">
        <v>209</v>
      </c>
      <c r="C84" s="21"/>
      <c r="D84" s="23" t="s">
        <v>42</v>
      </c>
      <c r="E84" s="23" t="s">
        <v>82</v>
      </c>
      <c r="F84" s="23" t="s">
        <v>82</v>
      </c>
      <c r="G84" s="23" t="s">
        <v>82</v>
      </c>
      <c r="H84" s="23" t="s">
        <v>82</v>
      </c>
      <c r="I84" s="23" t="s">
        <v>82</v>
      </c>
      <c r="J84" s="23" t="s">
        <v>42</v>
      </c>
      <c r="K84" s="23" t="s">
        <v>42</v>
      </c>
      <c r="L84" s="23" t="s">
        <v>42</v>
      </c>
      <c r="M84" s="23" t="s">
        <v>42</v>
      </c>
      <c r="N84" s="24"/>
      <c r="O84" s="23"/>
      <c r="P84" s="23"/>
      <c r="Q84" s="23"/>
      <c r="R84" s="23"/>
      <c r="S84" s="23"/>
      <c r="T84" s="23"/>
      <c r="U84" s="15"/>
      <c r="V84" s="15"/>
      <c r="W84" s="15"/>
      <c r="X84" s="15"/>
      <c r="Y84" s="25"/>
      <c r="AC84" t="s">
        <v>748</v>
      </c>
    </row>
    <row r="85" spans="1:29" x14ac:dyDescent="0.25">
      <c r="A85" s="18" t="s">
        <v>210</v>
      </c>
      <c r="B85" s="19" t="s">
        <v>211</v>
      </c>
      <c r="D85" s="14"/>
      <c r="E85" s="14"/>
      <c r="F85" s="14"/>
      <c r="G85" s="15"/>
      <c r="H85" s="14"/>
      <c r="I85" s="14"/>
      <c r="J85" s="14"/>
      <c r="K85" s="14"/>
      <c r="L85" s="14"/>
      <c r="M85" s="14"/>
      <c r="N85" s="16"/>
      <c r="O85" s="23"/>
      <c r="P85" s="23"/>
      <c r="Q85" s="23"/>
      <c r="R85" s="23"/>
      <c r="S85" s="23"/>
      <c r="T85" s="23"/>
      <c r="U85" s="15"/>
      <c r="V85" s="15"/>
      <c r="W85" s="15"/>
      <c r="X85" s="15"/>
    </row>
    <row r="86" spans="1:29" x14ac:dyDescent="0.25">
      <c r="A86" s="20" t="s">
        <v>212</v>
      </c>
      <c r="B86" s="21" t="s">
        <v>213</v>
      </c>
      <c r="D86" s="22" t="s">
        <v>42</v>
      </c>
      <c r="E86" s="22" t="s">
        <v>42</v>
      </c>
      <c r="F86" s="22" t="s">
        <v>42</v>
      </c>
      <c r="G86" s="23" t="s">
        <v>42</v>
      </c>
      <c r="H86" s="22" t="s">
        <v>42</v>
      </c>
      <c r="I86" s="22" t="s">
        <v>42</v>
      </c>
      <c r="J86" s="14"/>
      <c r="K86" s="14"/>
      <c r="L86" s="14"/>
      <c r="M86" s="14"/>
      <c r="N86" s="24"/>
      <c r="O86" s="23" t="s">
        <v>42</v>
      </c>
      <c r="P86" s="23" t="s">
        <v>42</v>
      </c>
      <c r="Q86" s="23" t="s">
        <v>42</v>
      </c>
      <c r="R86" s="23" t="s">
        <v>42</v>
      </c>
      <c r="S86" s="23" t="s">
        <v>42</v>
      </c>
      <c r="T86" s="23" t="s">
        <v>42</v>
      </c>
      <c r="U86" s="15"/>
      <c r="V86" s="15"/>
      <c r="W86" s="15"/>
      <c r="X86" s="15"/>
      <c r="Y86" s="25"/>
      <c r="Z86" s="26"/>
      <c r="AA86" s="26"/>
      <c r="AC86" t="s">
        <v>740</v>
      </c>
    </row>
    <row r="87" spans="1:29" x14ac:dyDescent="0.25">
      <c r="A87" s="20" t="s">
        <v>214</v>
      </c>
      <c r="B87" s="21" t="s">
        <v>215</v>
      </c>
      <c r="D87" s="22" t="s">
        <v>42</v>
      </c>
      <c r="E87" s="22" t="s">
        <v>42</v>
      </c>
      <c r="F87" s="22" t="s">
        <v>42</v>
      </c>
      <c r="G87" s="23" t="s">
        <v>42</v>
      </c>
      <c r="H87" s="22" t="s">
        <v>42</v>
      </c>
      <c r="I87" s="22" t="s">
        <v>42</v>
      </c>
      <c r="J87" s="14"/>
      <c r="K87" s="14"/>
      <c r="L87" s="14"/>
      <c r="M87" s="14"/>
      <c r="N87" s="24"/>
      <c r="O87" s="23"/>
      <c r="P87" s="23"/>
      <c r="Q87" s="23"/>
      <c r="R87" s="23"/>
      <c r="S87" s="23"/>
      <c r="T87" s="23"/>
      <c r="U87" s="15"/>
      <c r="V87" s="15"/>
      <c r="W87" s="15"/>
      <c r="X87" s="15"/>
      <c r="Y87" s="25"/>
      <c r="Z87" s="26"/>
      <c r="AA87" s="26"/>
      <c r="AC87" t="s">
        <v>741</v>
      </c>
    </row>
    <row r="88" spans="1:29" x14ac:dyDescent="0.25">
      <c r="A88" s="20" t="s">
        <v>216</v>
      </c>
      <c r="B88" s="21" t="s">
        <v>217</v>
      </c>
      <c r="D88" s="22"/>
      <c r="E88" s="22"/>
      <c r="F88" s="22"/>
      <c r="G88" s="23"/>
      <c r="H88" s="22"/>
      <c r="I88" s="22"/>
      <c r="J88" s="14"/>
      <c r="K88" s="14"/>
      <c r="L88" s="14"/>
      <c r="M88" s="14"/>
      <c r="N88" s="24"/>
      <c r="O88" s="23" t="s">
        <v>42</v>
      </c>
      <c r="P88" s="23" t="s">
        <v>42</v>
      </c>
      <c r="Q88" s="23" t="s">
        <v>42</v>
      </c>
      <c r="R88" s="23" t="s">
        <v>42</v>
      </c>
      <c r="S88" s="23" t="s">
        <v>42</v>
      </c>
      <c r="T88" s="23" t="s">
        <v>42</v>
      </c>
      <c r="U88" s="15"/>
      <c r="V88" s="15"/>
      <c r="W88" s="15"/>
      <c r="X88" s="15"/>
      <c r="Y88" s="25"/>
      <c r="Z88" s="26"/>
      <c r="AA88" s="26"/>
      <c r="AC88" t="s">
        <v>742</v>
      </c>
    </row>
    <row r="89" spans="1:29" x14ac:dyDescent="0.25">
      <c r="A89" s="20" t="s">
        <v>218</v>
      </c>
      <c r="B89" s="21" t="s">
        <v>219</v>
      </c>
      <c r="D89" s="22" t="s">
        <v>42</v>
      </c>
      <c r="E89" s="22" t="s">
        <v>42</v>
      </c>
      <c r="F89" s="22" t="s">
        <v>42</v>
      </c>
      <c r="G89" s="23" t="s">
        <v>42</v>
      </c>
      <c r="H89" s="22" t="s">
        <v>42</v>
      </c>
      <c r="I89" s="22" t="s">
        <v>42</v>
      </c>
      <c r="J89" s="14"/>
      <c r="K89" s="14"/>
      <c r="L89" s="14"/>
      <c r="M89" s="14"/>
      <c r="N89" s="24"/>
      <c r="O89" s="23"/>
      <c r="P89" s="23"/>
      <c r="Q89" s="23"/>
      <c r="R89" s="23"/>
      <c r="S89" s="23"/>
      <c r="T89" s="23"/>
      <c r="U89" s="15"/>
      <c r="V89" s="15"/>
      <c r="W89" s="15"/>
      <c r="X89" s="15"/>
      <c r="Y89" s="25"/>
      <c r="Z89" s="26"/>
      <c r="AA89" s="26"/>
      <c r="AC89" t="s">
        <v>743</v>
      </c>
    </row>
    <row r="90" spans="1:29" x14ac:dyDescent="0.25">
      <c r="A90" s="31" t="s">
        <v>89</v>
      </c>
      <c r="B90" s="33" t="s">
        <v>220</v>
      </c>
      <c r="D90" s="22"/>
      <c r="E90" s="22"/>
      <c r="F90" s="22"/>
      <c r="G90" s="23"/>
      <c r="H90" s="22"/>
      <c r="I90" s="22"/>
      <c r="J90" s="14"/>
      <c r="K90" s="14"/>
      <c r="L90" s="14"/>
      <c r="M90" s="14"/>
      <c r="N90" s="24"/>
      <c r="O90" s="23"/>
      <c r="P90" s="23"/>
      <c r="Q90" s="23"/>
      <c r="R90" s="23"/>
      <c r="S90" s="23"/>
      <c r="T90" s="23"/>
      <c r="U90" s="23" t="s">
        <v>82</v>
      </c>
      <c r="V90" s="23" t="s">
        <v>82</v>
      </c>
      <c r="W90" s="23" t="s">
        <v>82</v>
      </c>
      <c r="X90" s="23" t="s">
        <v>82</v>
      </c>
      <c r="Y90" s="25"/>
      <c r="Z90" s="26"/>
      <c r="AA90" s="26"/>
    </row>
    <row r="91" spans="1:29" x14ac:dyDescent="0.25">
      <c r="A91" s="31" t="s">
        <v>89</v>
      </c>
      <c r="B91" s="33" t="s">
        <v>221</v>
      </c>
      <c r="D91" s="22"/>
      <c r="E91" s="22"/>
      <c r="F91" s="22"/>
      <c r="G91" s="23"/>
      <c r="H91" s="22"/>
      <c r="I91" s="22"/>
      <c r="J91" s="14"/>
      <c r="K91" s="14"/>
      <c r="L91" s="14"/>
      <c r="M91" s="14"/>
      <c r="N91" s="24"/>
      <c r="O91" s="23"/>
      <c r="P91" s="23"/>
      <c r="Q91" s="23"/>
      <c r="R91" s="23"/>
      <c r="S91" s="23"/>
      <c r="T91" s="23"/>
      <c r="U91" s="23" t="s">
        <v>82</v>
      </c>
      <c r="V91" s="23" t="s">
        <v>82</v>
      </c>
      <c r="W91" s="23" t="s">
        <v>82</v>
      </c>
      <c r="X91" s="23" t="s">
        <v>82</v>
      </c>
      <c r="Y91" s="25"/>
      <c r="Z91" s="26"/>
      <c r="AA91" s="26"/>
    </row>
    <row r="92" spans="1:29" x14ac:dyDescent="0.25">
      <c r="A92" s="31" t="s">
        <v>89</v>
      </c>
      <c r="B92" s="33" t="s">
        <v>222</v>
      </c>
      <c r="C92" t="s">
        <v>223</v>
      </c>
      <c r="D92" s="22"/>
      <c r="E92" s="22" t="s">
        <v>82</v>
      </c>
      <c r="F92" s="22" t="s">
        <v>82</v>
      </c>
      <c r="G92" s="23" t="s">
        <v>82</v>
      </c>
      <c r="H92" s="22" t="s">
        <v>82</v>
      </c>
      <c r="I92" s="22" t="s">
        <v>82</v>
      </c>
      <c r="J92" s="14"/>
      <c r="K92" s="14"/>
      <c r="L92" s="14"/>
      <c r="M92" s="14"/>
      <c r="N92" s="24"/>
      <c r="O92" s="23"/>
      <c r="P92" s="23" t="s">
        <v>82</v>
      </c>
      <c r="Q92" s="23" t="s">
        <v>82</v>
      </c>
      <c r="R92" s="23" t="s">
        <v>82</v>
      </c>
      <c r="S92" s="23" t="s">
        <v>82</v>
      </c>
      <c r="T92" s="23" t="s">
        <v>82</v>
      </c>
      <c r="U92" s="15"/>
      <c r="V92" s="15"/>
      <c r="W92" s="15"/>
      <c r="X92" s="15"/>
      <c r="Y92" s="25"/>
      <c r="Z92" s="26"/>
      <c r="AA92" s="26"/>
    </row>
    <row r="93" spans="1:29" x14ac:dyDescent="0.25">
      <c r="A93" s="18" t="s">
        <v>224</v>
      </c>
      <c r="B93" s="19" t="s">
        <v>225</v>
      </c>
      <c r="D93" s="22"/>
      <c r="E93" s="22"/>
      <c r="F93" s="22"/>
      <c r="G93" s="23"/>
      <c r="H93" s="22"/>
      <c r="I93" s="22"/>
      <c r="J93" s="22"/>
      <c r="K93" s="22"/>
      <c r="L93" s="22"/>
      <c r="M93" s="22"/>
      <c r="N93" s="24"/>
      <c r="O93" s="23"/>
      <c r="P93" s="23"/>
      <c r="Q93" s="23"/>
      <c r="R93" s="23"/>
      <c r="S93" s="23"/>
      <c r="T93" s="23"/>
      <c r="U93" s="15"/>
      <c r="V93" s="15"/>
      <c r="W93" s="15"/>
      <c r="X93" s="15"/>
      <c r="Y93" s="25"/>
      <c r="AA93" s="26"/>
    </row>
    <row r="94" spans="1:29" x14ac:dyDescent="0.25">
      <c r="A94" s="20" t="s">
        <v>226</v>
      </c>
      <c r="B94" s="21" t="s">
        <v>227</v>
      </c>
      <c r="C94" t="s">
        <v>228</v>
      </c>
      <c r="D94" s="22"/>
      <c r="E94" s="22" t="s">
        <v>82</v>
      </c>
      <c r="F94" s="22" t="s">
        <v>82</v>
      </c>
      <c r="G94" s="23" t="s">
        <v>82</v>
      </c>
      <c r="H94" s="22" t="s">
        <v>82</v>
      </c>
      <c r="I94" s="22" t="s">
        <v>82</v>
      </c>
      <c r="J94" s="22" t="s">
        <v>42</v>
      </c>
      <c r="K94" s="22" t="s">
        <v>42</v>
      </c>
      <c r="L94" s="22" t="s">
        <v>42</v>
      </c>
      <c r="M94" s="22" t="s">
        <v>42</v>
      </c>
      <c r="N94" s="34"/>
      <c r="O94" s="23"/>
      <c r="P94" s="23" t="s">
        <v>82</v>
      </c>
      <c r="Q94" s="23" t="s">
        <v>82</v>
      </c>
      <c r="R94" s="23" t="s">
        <v>82</v>
      </c>
      <c r="S94" s="23" t="s">
        <v>82</v>
      </c>
      <c r="T94" s="23" t="s">
        <v>82</v>
      </c>
      <c r="U94" s="23" t="s">
        <v>42</v>
      </c>
      <c r="V94" s="23" t="s">
        <v>42</v>
      </c>
      <c r="W94" s="23" t="s">
        <v>42</v>
      </c>
      <c r="X94" s="23" t="s">
        <v>42</v>
      </c>
      <c r="Y94" s="35"/>
      <c r="AA94" s="26"/>
      <c r="AC94" t="s">
        <v>723</v>
      </c>
    </row>
    <row r="95" spans="1:29" x14ac:dyDescent="0.25">
      <c r="A95" s="20" t="s">
        <v>229</v>
      </c>
      <c r="B95" s="21" t="s">
        <v>230</v>
      </c>
      <c r="C95" t="s">
        <v>228</v>
      </c>
      <c r="D95" s="22"/>
      <c r="E95" s="22" t="s">
        <v>82</v>
      </c>
      <c r="F95" s="22" t="s">
        <v>82</v>
      </c>
      <c r="G95" s="23" t="s">
        <v>82</v>
      </c>
      <c r="H95" s="22" t="s">
        <v>82</v>
      </c>
      <c r="I95" s="22" t="s">
        <v>82</v>
      </c>
      <c r="J95" s="22" t="s">
        <v>42</v>
      </c>
      <c r="K95" s="22" t="s">
        <v>42</v>
      </c>
      <c r="L95" s="22" t="s">
        <v>42</v>
      </c>
      <c r="M95" s="22" t="s">
        <v>42</v>
      </c>
      <c r="N95" s="34"/>
      <c r="O95" s="23"/>
      <c r="P95" s="23" t="s">
        <v>82</v>
      </c>
      <c r="Q95" s="23" t="s">
        <v>82</v>
      </c>
      <c r="R95" s="23" t="s">
        <v>82</v>
      </c>
      <c r="S95" s="23" t="s">
        <v>82</v>
      </c>
      <c r="T95" s="23" t="s">
        <v>82</v>
      </c>
      <c r="U95" s="23" t="s">
        <v>42</v>
      </c>
      <c r="V95" s="23" t="s">
        <v>42</v>
      </c>
      <c r="W95" s="23" t="s">
        <v>42</v>
      </c>
      <c r="X95" s="23" t="s">
        <v>42</v>
      </c>
      <c r="Y95" s="35"/>
      <c r="AA95" s="26"/>
      <c r="AC95" t="s">
        <v>724</v>
      </c>
    </row>
    <row r="96" spans="1:29" x14ac:dyDescent="0.25">
      <c r="A96" s="20" t="s">
        <v>231</v>
      </c>
      <c r="B96" s="36" t="s">
        <v>232</v>
      </c>
      <c r="C96" t="s">
        <v>233</v>
      </c>
      <c r="D96" s="22"/>
      <c r="E96" s="22" t="s">
        <v>82</v>
      </c>
      <c r="F96" s="22" t="s">
        <v>82</v>
      </c>
      <c r="G96" s="23" t="s">
        <v>82</v>
      </c>
      <c r="H96" s="22" t="s">
        <v>82</v>
      </c>
      <c r="I96" s="22" t="s">
        <v>82</v>
      </c>
      <c r="J96" s="22" t="s">
        <v>42</v>
      </c>
      <c r="K96" s="22" t="s">
        <v>42</v>
      </c>
      <c r="L96" s="22" t="s">
        <v>42</v>
      </c>
      <c r="M96" s="22" t="s">
        <v>42</v>
      </c>
      <c r="N96" s="34"/>
      <c r="O96" s="23"/>
      <c r="P96" s="23" t="s">
        <v>82</v>
      </c>
      <c r="Q96" s="23" t="s">
        <v>82</v>
      </c>
      <c r="R96" s="23" t="s">
        <v>82</v>
      </c>
      <c r="S96" s="23" t="s">
        <v>82</v>
      </c>
      <c r="T96" s="23" t="s">
        <v>82</v>
      </c>
      <c r="U96" s="23" t="s">
        <v>42</v>
      </c>
      <c r="V96" s="23" t="s">
        <v>42</v>
      </c>
      <c r="W96" s="23" t="s">
        <v>42</v>
      </c>
      <c r="X96" s="23" t="s">
        <v>42</v>
      </c>
      <c r="Y96" s="35"/>
      <c r="AA96" s="26"/>
      <c r="AC96" t="s">
        <v>725</v>
      </c>
    </row>
    <row r="97" spans="1:29" ht="30" x14ac:dyDescent="0.25">
      <c r="A97" s="18" t="s">
        <v>234</v>
      </c>
      <c r="B97" s="19" t="s">
        <v>235</v>
      </c>
      <c r="C97" s="13" t="s">
        <v>236</v>
      </c>
      <c r="D97" s="14"/>
      <c r="E97" s="14"/>
      <c r="F97" s="14"/>
      <c r="G97" s="15"/>
      <c r="H97" s="14"/>
      <c r="I97" s="14"/>
      <c r="J97" s="14"/>
      <c r="K97" s="14"/>
      <c r="L97" s="14"/>
      <c r="M97" s="14"/>
      <c r="N97" s="16"/>
      <c r="O97" s="23"/>
      <c r="P97" s="23"/>
      <c r="Q97" s="23"/>
      <c r="R97" s="23"/>
      <c r="S97" s="23"/>
      <c r="T97" s="23"/>
      <c r="U97" s="15"/>
      <c r="V97" s="15"/>
      <c r="W97" s="15"/>
      <c r="X97" s="15"/>
      <c r="AA97" s="26"/>
    </row>
    <row r="98" spans="1:29" x14ac:dyDescent="0.25">
      <c r="A98" s="20" t="s">
        <v>237</v>
      </c>
      <c r="B98" s="21" t="s">
        <v>238</v>
      </c>
      <c r="D98" s="23" t="s">
        <v>42</v>
      </c>
      <c r="E98" s="23" t="s">
        <v>42</v>
      </c>
      <c r="F98" s="23" t="s">
        <v>42</v>
      </c>
      <c r="G98" s="23" t="s">
        <v>42</v>
      </c>
      <c r="H98" s="23" t="s">
        <v>42</v>
      </c>
      <c r="I98" s="23" t="s">
        <v>42</v>
      </c>
      <c r="J98" s="23"/>
      <c r="K98" s="23"/>
      <c r="L98" s="23"/>
      <c r="M98" s="23"/>
      <c r="N98" s="24"/>
      <c r="O98" s="23"/>
      <c r="P98" s="23"/>
      <c r="Q98" s="23"/>
      <c r="R98" s="23"/>
      <c r="S98" s="23"/>
      <c r="T98" s="23"/>
      <c r="U98" s="15"/>
      <c r="V98" s="15"/>
      <c r="W98" s="15"/>
      <c r="X98" s="15"/>
      <c r="Y98" s="25"/>
      <c r="AC98" t="str">
        <f>CONCATENATE("/VectoCustomerInformation/Data/Results/Summary/CO2[@attribute()='","gCO2/t-km","']")</f>
        <v>/VectoCustomerInformation/Data/Results/Summary/CO2[@attribute()='gCO2/t-km']</v>
      </c>
    </row>
    <row r="99" spans="1:29" x14ac:dyDescent="0.25">
      <c r="A99" s="20" t="s">
        <v>239</v>
      </c>
      <c r="B99" s="21" t="s">
        <v>240</v>
      </c>
      <c r="C99" s="13" t="s">
        <v>241</v>
      </c>
      <c r="D99" s="23"/>
      <c r="E99" s="22" t="s">
        <v>82</v>
      </c>
      <c r="F99" s="22" t="s">
        <v>82</v>
      </c>
      <c r="G99" s="22" t="s">
        <v>82</v>
      </c>
      <c r="H99" s="22" t="s">
        <v>82</v>
      </c>
      <c r="I99" s="22" t="s">
        <v>82</v>
      </c>
      <c r="J99" s="22" t="s">
        <v>42</v>
      </c>
      <c r="K99" s="22" t="s">
        <v>42</v>
      </c>
      <c r="L99" s="22" t="s">
        <v>42</v>
      </c>
      <c r="M99" s="22" t="s">
        <v>42</v>
      </c>
      <c r="N99" s="24"/>
      <c r="O99" s="23"/>
      <c r="P99" s="23"/>
      <c r="Q99" s="23"/>
      <c r="R99" s="23"/>
      <c r="S99" s="23"/>
      <c r="T99" s="23"/>
      <c r="U99" s="15"/>
      <c r="V99" s="15"/>
      <c r="W99" s="15"/>
      <c r="X99" s="15"/>
      <c r="Y99" s="25"/>
      <c r="AC99" t="str">
        <f>CONCATENATE("/VectoCustomerInformation/Data/Results/Summary/ElectricEnergy/EnergyConsumption[@attribute()='","kWh/t-km","']")</f>
        <v>/VectoCustomerInformation/Data/Results/Summary/ElectricEnergy/EnergyConsumption[@attribute()='kWh/t-km']</v>
      </c>
    </row>
    <row r="100" spans="1:29" x14ac:dyDescent="0.25">
      <c r="A100" s="20" t="s">
        <v>242</v>
      </c>
      <c r="B100" s="21" t="s">
        <v>243</v>
      </c>
      <c r="D100" s="23" t="s">
        <v>42</v>
      </c>
      <c r="E100" s="23" t="s">
        <v>42</v>
      </c>
      <c r="F100" s="23" t="s">
        <v>42</v>
      </c>
      <c r="G100" s="23" t="s">
        <v>42</v>
      </c>
      <c r="H100" s="23" t="s">
        <v>42</v>
      </c>
      <c r="I100" s="23" t="s">
        <v>42</v>
      </c>
      <c r="J100" s="22" t="s">
        <v>42</v>
      </c>
      <c r="K100" s="22" t="s">
        <v>42</v>
      </c>
      <c r="L100" s="22" t="s">
        <v>42</v>
      </c>
      <c r="M100" s="22" t="s">
        <v>42</v>
      </c>
      <c r="N100" s="24"/>
      <c r="O100" s="23"/>
      <c r="P100" s="23"/>
      <c r="Q100" s="23"/>
      <c r="R100" s="23"/>
      <c r="S100" s="23"/>
      <c r="T100" s="23"/>
      <c r="U100" s="15"/>
      <c r="V100" s="15"/>
      <c r="W100" s="15"/>
      <c r="X100" s="15"/>
      <c r="Y100" s="25"/>
      <c r="AC100" t="s">
        <v>727</v>
      </c>
    </row>
    <row r="101" spans="1:29" x14ac:dyDescent="0.25">
      <c r="A101" s="20" t="s">
        <v>244</v>
      </c>
      <c r="B101" s="21" t="s">
        <v>245</v>
      </c>
      <c r="D101" s="22"/>
      <c r="E101" s="22"/>
      <c r="F101" s="22"/>
      <c r="G101" s="23"/>
      <c r="H101" s="22"/>
      <c r="I101" s="22"/>
      <c r="J101" s="22"/>
      <c r="K101" s="22"/>
      <c r="L101" s="22"/>
      <c r="M101" s="22"/>
      <c r="N101" s="24"/>
      <c r="O101" s="22" t="s">
        <v>42</v>
      </c>
      <c r="P101" s="22" t="s">
        <v>42</v>
      </c>
      <c r="Q101" s="22" t="s">
        <v>42</v>
      </c>
      <c r="R101" s="23" t="s">
        <v>42</v>
      </c>
      <c r="S101" s="22" t="s">
        <v>42</v>
      </c>
      <c r="T101" s="22" t="s">
        <v>42</v>
      </c>
      <c r="U101" s="23" t="s">
        <v>42</v>
      </c>
      <c r="V101" s="22" t="s">
        <v>42</v>
      </c>
      <c r="W101" s="22" t="s">
        <v>42</v>
      </c>
      <c r="X101" s="22" t="s">
        <v>42</v>
      </c>
      <c r="Y101" s="25"/>
      <c r="AC101" t="str">
        <f>CONCATENATE("/VectoCustomerInformation/Data/Results/Summary/CO2[@attribute()='","gCO2/p-km","']")</f>
        <v>/VectoCustomerInformation/Data/Results/Summary/CO2[@attribute()='gCO2/p-km']</v>
      </c>
    </row>
    <row r="102" spans="1:29" x14ac:dyDescent="0.25">
      <c r="A102" s="20" t="s">
        <v>246</v>
      </c>
      <c r="B102" s="21" t="s">
        <v>247</v>
      </c>
      <c r="C102" s="13" t="s">
        <v>241</v>
      </c>
      <c r="D102" s="22"/>
      <c r="E102" s="22"/>
      <c r="F102" s="22"/>
      <c r="G102" s="23"/>
      <c r="H102" s="22"/>
      <c r="I102" s="22"/>
      <c r="J102" s="22"/>
      <c r="K102" s="22"/>
      <c r="L102" s="22"/>
      <c r="M102" s="22"/>
      <c r="N102" s="24"/>
      <c r="O102" s="22"/>
      <c r="P102" s="22" t="s">
        <v>82</v>
      </c>
      <c r="Q102" s="22" t="s">
        <v>82</v>
      </c>
      <c r="R102" s="22" t="s">
        <v>82</v>
      </c>
      <c r="S102" s="22" t="s">
        <v>82</v>
      </c>
      <c r="T102" s="22" t="s">
        <v>82</v>
      </c>
      <c r="U102" s="23" t="s">
        <v>42</v>
      </c>
      <c r="V102" s="22" t="s">
        <v>42</v>
      </c>
      <c r="W102" s="22" t="s">
        <v>42</v>
      </c>
      <c r="X102" s="22" t="s">
        <v>42</v>
      </c>
      <c r="Y102" s="25"/>
      <c r="AC102" t="str">
        <f>CONCATENATE("/VectoCustomerInformation/Data/Results/Summary/ElectricEnergy/EnergyConsumption[@attribute()='","kWh/p-km","']")</f>
        <v>/VectoCustomerInformation/Data/Results/Summary/ElectricEnergy/EnergyConsumption[@attribute()='kWh/p-km']</v>
      </c>
    </row>
    <row r="103" spans="1:29" x14ac:dyDescent="0.25">
      <c r="A103" s="20" t="s">
        <v>248</v>
      </c>
      <c r="B103" s="21" t="s">
        <v>249</v>
      </c>
      <c r="D103" s="22"/>
      <c r="E103" s="22"/>
      <c r="F103" s="22"/>
      <c r="G103" s="23"/>
      <c r="H103" s="22"/>
      <c r="I103" s="22"/>
      <c r="J103" s="22"/>
      <c r="K103" s="22"/>
      <c r="L103" s="22"/>
      <c r="M103" s="22"/>
      <c r="N103" s="24"/>
      <c r="O103" s="22" t="s">
        <v>42</v>
      </c>
      <c r="P103" s="22" t="s">
        <v>42</v>
      </c>
      <c r="Q103" s="22" t="s">
        <v>42</v>
      </c>
      <c r="R103" s="23" t="s">
        <v>42</v>
      </c>
      <c r="S103" s="22" t="s">
        <v>42</v>
      </c>
      <c r="T103" s="22" t="s">
        <v>42</v>
      </c>
      <c r="U103" s="23" t="s">
        <v>42</v>
      </c>
      <c r="V103" s="22" t="s">
        <v>42</v>
      </c>
      <c r="W103" s="22" t="s">
        <v>42</v>
      </c>
      <c r="X103" s="22" t="s">
        <v>42</v>
      </c>
      <c r="Y103" s="25"/>
      <c r="AC103" t="s">
        <v>728</v>
      </c>
    </row>
    <row r="104" spans="1:29" x14ac:dyDescent="0.25">
      <c r="A104" s="20" t="s">
        <v>250</v>
      </c>
      <c r="B104" s="21" t="s">
        <v>227</v>
      </c>
      <c r="C104" t="s">
        <v>228</v>
      </c>
      <c r="D104" s="22"/>
      <c r="E104" s="22" t="s">
        <v>82</v>
      </c>
      <c r="F104" s="22" t="s">
        <v>82</v>
      </c>
      <c r="G104" s="23" t="s">
        <v>82</v>
      </c>
      <c r="H104" s="22" t="s">
        <v>82</v>
      </c>
      <c r="I104" s="22" t="s">
        <v>82</v>
      </c>
      <c r="J104" s="22" t="s">
        <v>42</v>
      </c>
      <c r="K104" s="22" t="s">
        <v>42</v>
      </c>
      <c r="L104" s="22" t="s">
        <v>42</v>
      </c>
      <c r="M104" s="22" t="s">
        <v>42</v>
      </c>
      <c r="N104" s="34"/>
      <c r="O104" s="23"/>
      <c r="P104" s="23" t="s">
        <v>82</v>
      </c>
      <c r="Q104" s="23" t="s">
        <v>82</v>
      </c>
      <c r="R104" s="23" t="s">
        <v>82</v>
      </c>
      <c r="S104" s="23" t="s">
        <v>82</v>
      </c>
      <c r="T104" s="23" t="s">
        <v>82</v>
      </c>
      <c r="U104" s="23" t="s">
        <v>42</v>
      </c>
      <c r="V104" s="23" t="s">
        <v>42</v>
      </c>
      <c r="W104" s="23" t="s">
        <v>42</v>
      </c>
      <c r="X104" s="23" t="s">
        <v>42</v>
      </c>
      <c r="Y104" s="35"/>
      <c r="AC104" t="s">
        <v>729</v>
      </c>
    </row>
    <row r="105" spans="1:29" x14ac:dyDescent="0.25">
      <c r="A105" s="20" t="s">
        <v>251</v>
      </c>
      <c r="B105" s="21" t="s">
        <v>230</v>
      </c>
      <c r="C105" t="s">
        <v>228</v>
      </c>
      <c r="D105" s="22"/>
      <c r="E105" s="22" t="s">
        <v>82</v>
      </c>
      <c r="F105" s="22" t="s">
        <v>82</v>
      </c>
      <c r="G105" s="23" t="s">
        <v>82</v>
      </c>
      <c r="H105" s="22" t="s">
        <v>82</v>
      </c>
      <c r="I105" s="22" t="s">
        <v>82</v>
      </c>
      <c r="J105" s="22" t="s">
        <v>42</v>
      </c>
      <c r="K105" s="22" t="s">
        <v>42</v>
      </c>
      <c r="L105" s="22" t="s">
        <v>42</v>
      </c>
      <c r="M105" s="22" t="s">
        <v>42</v>
      </c>
      <c r="N105" s="34"/>
      <c r="O105" s="23"/>
      <c r="P105" s="23" t="s">
        <v>82</v>
      </c>
      <c r="Q105" s="23" t="s">
        <v>82</v>
      </c>
      <c r="R105" s="23" t="s">
        <v>82</v>
      </c>
      <c r="S105" s="23" t="s">
        <v>82</v>
      </c>
      <c r="T105" s="23" t="s">
        <v>82</v>
      </c>
      <c r="U105" s="23" t="s">
        <v>42</v>
      </c>
      <c r="V105" s="23" t="s">
        <v>42</v>
      </c>
      <c r="W105" s="23" t="s">
        <v>42</v>
      </c>
      <c r="X105" s="23" t="s">
        <v>42</v>
      </c>
      <c r="Y105" s="35"/>
      <c r="AC105" t="s">
        <v>730</v>
      </c>
    </row>
    <row r="106" spans="1:29" x14ac:dyDescent="0.25">
      <c r="A106" s="28" t="s">
        <v>252</v>
      </c>
      <c r="B106" s="36" t="s">
        <v>232</v>
      </c>
      <c r="C106" t="s">
        <v>233</v>
      </c>
      <c r="D106" s="22"/>
      <c r="E106" s="22" t="s">
        <v>82</v>
      </c>
      <c r="F106" s="22" t="s">
        <v>82</v>
      </c>
      <c r="G106" s="23" t="s">
        <v>82</v>
      </c>
      <c r="H106" s="22" t="s">
        <v>82</v>
      </c>
      <c r="I106" s="22" t="s">
        <v>82</v>
      </c>
      <c r="J106" s="22" t="s">
        <v>42</v>
      </c>
      <c r="K106" s="22" t="s">
        <v>42</v>
      </c>
      <c r="L106" s="22" t="s">
        <v>42</v>
      </c>
      <c r="M106" s="22" t="s">
        <v>42</v>
      </c>
      <c r="N106" s="34"/>
      <c r="O106" s="23"/>
      <c r="P106" s="23" t="s">
        <v>82</v>
      </c>
      <c r="Q106" s="23" t="s">
        <v>82</v>
      </c>
      <c r="R106" s="23" t="s">
        <v>82</v>
      </c>
      <c r="S106" s="23" t="s">
        <v>82</v>
      </c>
      <c r="T106" s="23" t="s">
        <v>82</v>
      </c>
      <c r="U106" s="23" t="s">
        <v>42</v>
      </c>
      <c r="V106" s="23" t="s">
        <v>42</v>
      </c>
      <c r="W106" s="23" t="s">
        <v>42</v>
      </c>
      <c r="X106" s="23" t="s">
        <v>42</v>
      </c>
      <c r="Y106" s="35"/>
      <c r="AC106" t="s">
        <v>731</v>
      </c>
    </row>
    <row r="107" spans="1:29" s="37" customFormat="1" x14ac:dyDescent="0.25">
      <c r="A107" s="31" t="s">
        <v>89</v>
      </c>
      <c r="B107" s="33" t="s">
        <v>213</v>
      </c>
      <c r="D107" s="23" t="s">
        <v>42</v>
      </c>
      <c r="E107" s="23" t="s">
        <v>42</v>
      </c>
      <c r="F107" s="23" t="s">
        <v>42</v>
      </c>
      <c r="G107" s="23" t="s">
        <v>42</v>
      </c>
      <c r="H107" s="23" t="s">
        <v>42</v>
      </c>
      <c r="I107" s="23" t="s">
        <v>42</v>
      </c>
      <c r="J107" s="23"/>
      <c r="K107" s="23"/>
      <c r="L107" s="23"/>
      <c r="M107" s="23"/>
      <c r="N107" s="34"/>
      <c r="O107" s="23" t="s">
        <v>42</v>
      </c>
      <c r="P107" s="23" t="s">
        <v>42</v>
      </c>
      <c r="Q107" s="23" t="s">
        <v>42</v>
      </c>
      <c r="R107" s="23" t="s">
        <v>42</v>
      </c>
      <c r="S107" s="23" t="s">
        <v>42</v>
      </c>
      <c r="T107" s="23" t="s">
        <v>42</v>
      </c>
      <c r="U107" s="23"/>
      <c r="V107" s="23"/>
      <c r="W107" s="23"/>
      <c r="X107" s="23"/>
      <c r="Y107" s="34"/>
      <c r="Z107" s="14"/>
      <c r="AA107" s="14"/>
      <c r="AB107" s="14"/>
    </row>
    <row r="108" spans="1:29" s="37" customFormat="1" x14ac:dyDescent="0.25">
      <c r="A108" s="31" t="s">
        <v>89</v>
      </c>
      <c r="B108" s="33" t="s">
        <v>219</v>
      </c>
      <c r="D108" s="23" t="s">
        <v>42</v>
      </c>
      <c r="E108" s="23" t="s">
        <v>42</v>
      </c>
      <c r="F108" s="23" t="s">
        <v>42</v>
      </c>
      <c r="G108" s="23" t="s">
        <v>42</v>
      </c>
      <c r="H108" s="23" t="s">
        <v>42</v>
      </c>
      <c r="I108" s="23" t="s">
        <v>42</v>
      </c>
      <c r="J108" s="23"/>
      <c r="K108" s="23"/>
      <c r="L108" s="23"/>
      <c r="M108" s="23"/>
      <c r="N108" s="34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34"/>
      <c r="Z108" s="14"/>
      <c r="AA108" s="14"/>
      <c r="AB108" s="14"/>
    </row>
    <row r="109" spans="1:29" s="37" customFormat="1" x14ac:dyDescent="0.25">
      <c r="A109" s="31" t="s">
        <v>89</v>
      </c>
      <c r="B109" s="33" t="s">
        <v>186</v>
      </c>
      <c r="D109" s="23" t="s">
        <v>42</v>
      </c>
      <c r="E109" s="23" t="s">
        <v>42</v>
      </c>
      <c r="F109" s="23" t="s">
        <v>42</v>
      </c>
      <c r="G109" s="23" t="s">
        <v>42</v>
      </c>
      <c r="H109" s="23" t="s">
        <v>42</v>
      </c>
      <c r="I109" s="23" t="s">
        <v>42</v>
      </c>
      <c r="J109" s="22"/>
      <c r="K109" s="22"/>
      <c r="L109" s="22"/>
      <c r="M109" s="22"/>
      <c r="N109" s="34"/>
      <c r="O109" s="23" t="s">
        <v>42</v>
      </c>
      <c r="P109" s="23" t="s">
        <v>42</v>
      </c>
      <c r="Q109" s="23" t="s">
        <v>42</v>
      </c>
      <c r="R109" s="23" t="s">
        <v>42</v>
      </c>
      <c r="S109" s="23" t="s">
        <v>42</v>
      </c>
      <c r="T109" s="23" t="s">
        <v>42</v>
      </c>
      <c r="U109" s="23"/>
      <c r="V109" s="23"/>
      <c r="W109" s="23"/>
      <c r="X109" s="23"/>
      <c r="Y109" s="34"/>
      <c r="Z109" s="14"/>
      <c r="AA109" s="14"/>
      <c r="AB109" s="14"/>
    </row>
    <row r="110" spans="1:29" s="37" customFormat="1" x14ac:dyDescent="0.25">
      <c r="A110" s="31" t="s">
        <v>89</v>
      </c>
      <c r="B110" s="33" t="s">
        <v>188</v>
      </c>
      <c r="D110" s="23" t="s">
        <v>42</v>
      </c>
      <c r="E110" s="23" t="s">
        <v>42</v>
      </c>
      <c r="F110" s="23" t="s">
        <v>42</v>
      </c>
      <c r="G110" s="23" t="s">
        <v>42</v>
      </c>
      <c r="H110" s="23" t="s">
        <v>42</v>
      </c>
      <c r="I110" s="23" t="s">
        <v>42</v>
      </c>
      <c r="J110" s="22"/>
      <c r="K110" s="22"/>
      <c r="L110" s="22"/>
      <c r="M110" s="22"/>
      <c r="N110" s="34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34"/>
      <c r="Z110" s="14"/>
      <c r="AA110" s="14"/>
      <c r="AB110" s="14"/>
    </row>
    <row r="111" spans="1:29" s="37" customFormat="1" x14ac:dyDescent="0.25">
      <c r="A111" s="31" t="s">
        <v>89</v>
      </c>
      <c r="B111" s="33" t="s">
        <v>190</v>
      </c>
      <c r="D111" s="22"/>
      <c r="E111" s="22"/>
      <c r="F111" s="22"/>
      <c r="G111" s="23"/>
      <c r="H111" s="22"/>
      <c r="I111" s="22"/>
      <c r="J111" s="22"/>
      <c r="K111" s="22"/>
      <c r="L111" s="22"/>
      <c r="M111" s="22"/>
      <c r="N111" s="34"/>
      <c r="O111" s="23" t="s">
        <v>42</v>
      </c>
      <c r="P111" s="23" t="s">
        <v>42</v>
      </c>
      <c r="Q111" s="23" t="s">
        <v>42</v>
      </c>
      <c r="R111" s="23" t="s">
        <v>42</v>
      </c>
      <c r="S111" s="23" t="s">
        <v>42</v>
      </c>
      <c r="T111" s="23" t="s">
        <v>42</v>
      </c>
      <c r="U111" s="23"/>
      <c r="V111" s="23"/>
      <c r="W111" s="23"/>
      <c r="X111" s="23"/>
      <c r="Y111" s="34"/>
      <c r="Z111" s="14"/>
      <c r="AA111" s="14"/>
      <c r="AB111" s="14"/>
    </row>
    <row r="112" spans="1:29" s="37" customFormat="1" x14ac:dyDescent="0.25">
      <c r="A112" s="31" t="s">
        <v>89</v>
      </c>
      <c r="B112" s="33" t="s">
        <v>192</v>
      </c>
      <c r="D112" s="23" t="s">
        <v>42</v>
      </c>
      <c r="E112" s="23" t="s">
        <v>42</v>
      </c>
      <c r="F112" s="23" t="s">
        <v>42</v>
      </c>
      <c r="G112" s="23" t="s">
        <v>42</v>
      </c>
      <c r="H112" s="23" t="s">
        <v>42</v>
      </c>
      <c r="I112" s="23" t="s">
        <v>42</v>
      </c>
      <c r="J112" s="22"/>
      <c r="K112" s="22"/>
      <c r="L112" s="22"/>
      <c r="M112" s="22"/>
      <c r="N112" s="34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34"/>
      <c r="Z112" s="14"/>
      <c r="AA112" s="14"/>
      <c r="AB112" s="14"/>
    </row>
    <row r="113" spans="1:29" s="37" customFormat="1" x14ac:dyDescent="0.25">
      <c r="A113" s="31" t="s">
        <v>89</v>
      </c>
      <c r="B113" s="33" t="s">
        <v>194</v>
      </c>
      <c r="C113" s="21" t="s">
        <v>195</v>
      </c>
      <c r="D113" s="23" t="s">
        <v>42</v>
      </c>
      <c r="E113" s="23" t="s">
        <v>42</v>
      </c>
      <c r="F113" s="23" t="s">
        <v>42</v>
      </c>
      <c r="G113" s="23" t="s">
        <v>42</v>
      </c>
      <c r="H113" s="23" t="s">
        <v>42</v>
      </c>
      <c r="I113" s="23" t="s">
        <v>42</v>
      </c>
      <c r="J113" s="22"/>
      <c r="K113" s="22"/>
      <c r="L113" s="22"/>
      <c r="M113" s="22"/>
      <c r="N113" s="34"/>
      <c r="O113" s="23" t="s">
        <v>42</v>
      </c>
      <c r="P113" s="23" t="s">
        <v>42</v>
      </c>
      <c r="Q113" s="23" t="s">
        <v>42</v>
      </c>
      <c r="R113" s="23" t="s">
        <v>42</v>
      </c>
      <c r="S113" s="23" t="s">
        <v>42</v>
      </c>
      <c r="T113" s="23" t="s">
        <v>42</v>
      </c>
      <c r="U113" s="23"/>
      <c r="V113" s="23"/>
      <c r="W113" s="23"/>
      <c r="X113" s="23"/>
      <c r="Y113" s="34"/>
      <c r="Z113" s="14"/>
      <c r="AA113" s="14"/>
      <c r="AB113" s="14"/>
    </row>
    <row r="114" spans="1:29" s="37" customFormat="1" x14ac:dyDescent="0.25">
      <c r="A114" s="31" t="s">
        <v>89</v>
      </c>
      <c r="B114" s="33" t="s">
        <v>197</v>
      </c>
      <c r="C114" s="21" t="s">
        <v>195</v>
      </c>
      <c r="D114" s="23" t="s">
        <v>42</v>
      </c>
      <c r="E114" s="23" t="s">
        <v>42</v>
      </c>
      <c r="F114" s="23" t="s">
        <v>42</v>
      </c>
      <c r="G114" s="23" t="s">
        <v>42</v>
      </c>
      <c r="H114" s="23" t="s">
        <v>42</v>
      </c>
      <c r="I114" s="23" t="s">
        <v>42</v>
      </c>
      <c r="J114" s="22"/>
      <c r="K114" s="22"/>
      <c r="L114" s="22"/>
      <c r="M114" s="22"/>
      <c r="N114" s="34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34"/>
      <c r="Z114" s="14"/>
      <c r="AA114" s="14"/>
      <c r="AB114" s="14"/>
    </row>
    <row r="115" spans="1:29" s="37" customFormat="1" x14ac:dyDescent="0.25">
      <c r="A115" s="31" t="s">
        <v>89</v>
      </c>
      <c r="B115" s="33" t="s">
        <v>199</v>
      </c>
      <c r="C115" s="21" t="s">
        <v>195</v>
      </c>
      <c r="D115" s="22"/>
      <c r="E115" s="22"/>
      <c r="F115" s="22"/>
      <c r="G115" s="23"/>
      <c r="H115" s="22"/>
      <c r="I115" s="22"/>
      <c r="J115" s="22"/>
      <c r="K115" s="22"/>
      <c r="L115" s="22"/>
      <c r="M115" s="22"/>
      <c r="N115" s="34"/>
      <c r="O115" s="23" t="s">
        <v>42</v>
      </c>
      <c r="P115" s="23" t="s">
        <v>42</v>
      </c>
      <c r="Q115" s="23" t="s">
        <v>42</v>
      </c>
      <c r="R115" s="23" t="s">
        <v>42</v>
      </c>
      <c r="S115" s="23" t="s">
        <v>42</v>
      </c>
      <c r="T115" s="23" t="s">
        <v>42</v>
      </c>
      <c r="U115" s="23"/>
      <c r="V115" s="23"/>
      <c r="W115" s="23"/>
      <c r="X115" s="23"/>
      <c r="Y115" s="34"/>
      <c r="Z115" s="14"/>
      <c r="AA115" s="14"/>
      <c r="AB115" s="14"/>
    </row>
    <row r="116" spans="1:29" s="37" customFormat="1" x14ac:dyDescent="0.25">
      <c r="A116" s="31" t="s">
        <v>89</v>
      </c>
      <c r="B116" s="38" t="s">
        <v>201</v>
      </c>
      <c r="C116" s="21" t="s">
        <v>195</v>
      </c>
      <c r="D116" s="23" t="s">
        <v>42</v>
      </c>
      <c r="E116" s="23" t="s">
        <v>42</v>
      </c>
      <c r="F116" s="23" t="s">
        <v>42</v>
      </c>
      <c r="G116" s="23" t="s">
        <v>42</v>
      </c>
      <c r="H116" s="23" t="s">
        <v>42</v>
      </c>
      <c r="I116" s="23" t="s">
        <v>42</v>
      </c>
      <c r="J116" s="22"/>
      <c r="K116" s="22"/>
      <c r="L116" s="22"/>
      <c r="M116" s="22"/>
      <c r="N116" s="34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34"/>
      <c r="Z116" s="14"/>
      <c r="AA116" s="14"/>
      <c r="AB116" s="14"/>
    </row>
    <row r="117" spans="1:29" s="37" customFormat="1" x14ac:dyDescent="0.25">
      <c r="A117" s="31" t="s">
        <v>89</v>
      </c>
      <c r="B117" s="38" t="s">
        <v>253</v>
      </c>
      <c r="C117" s="13" t="s">
        <v>241</v>
      </c>
      <c r="D117" s="23"/>
      <c r="E117" s="22" t="s">
        <v>82</v>
      </c>
      <c r="F117" s="22" t="s">
        <v>82</v>
      </c>
      <c r="G117" s="23" t="s">
        <v>82</v>
      </c>
      <c r="H117" s="22" t="s">
        <v>82</v>
      </c>
      <c r="I117" s="22" t="s">
        <v>82</v>
      </c>
      <c r="J117" s="22" t="s">
        <v>42</v>
      </c>
      <c r="K117" s="22" t="s">
        <v>42</v>
      </c>
      <c r="L117" s="22" t="s">
        <v>42</v>
      </c>
      <c r="M117" s="22" t="s">
        <v>42</v>
      </c>
      <c r="N117" s="34"/>
      <c r="O117" s="23"/>
      <c r="P117" s="22" t="s">
        <v>82</v>
      </c>
      <c r="Q117" s="22" t="s">
        <v>82</v>
      </c>
      <c r="R117" s="23" t="s">
        <v>82</v>
      </c>
      <c r="S117" s="22" t="s">
        <v>82</v>
      </c>
      <c r="T117" s="22" t="s">
        <v>82</v>
      </c>
      <c r="U117" s="23" t="s">
        <v>42</v>
      </c>
      <c r="V117" s="22" t="s">
        <v>42</v>
      </c>
      <c r="W117" s="22" t="s">
        <v>42</v>
      </c>
      <c r="X117" s="22" t="s">
        <v>42</v>
      </c>
      <c r="Y117" s="34"/>
      <c r="Z117" s="14"/>
      <c r="AA117" s="14"/>
      <c r="AB117" s="14"/>
    </row>
    <row r="118" spans="1:29" s="37" customFormat="1" x14ac:dyDescent="0.25">
      <c r="A118" s="31" t="s">
        <v>89</v>
      </c>
      <c r="B118" s="38" t="s">
        <v>254</v>
      </c>
      <c r="C118" s="13" t="s">
        <v>241</v>
      </c>
      <c r="D118" s="23"/>
      <c r="E118" s="22" t="s">
        <v>82</v>
      </c>
      <c r="F118" s="22" t="s">
        <v>82</v>
      </c>
      <c r="G118" s="23" t="s">
        <v>82</v>
      </c>
      <c r="H118" s="22" t="s">
        <v>82</v>
      </c>
      <c r="I118" s="22" t="s">
        <v>82</v>
      </c>
      <c r="J118" s="22" t="s">
        <v>42</v>
      </c>
      <c r="K118" s="22" t="s">
        <v>42</v>
      </c>
      <c r="L118" s="22" t="s">
        <v>42</v>
      </c>
      <c r="M118" s="22" t="s">
        <v>42</v>
      </c>
      <c r="N118" s="34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34"/>
      <c r="Z118" s="14"/>
      <c r="AA118" s="14"/>
      <c r="AB118" s="14"/>
    </row>
    <row r="119" spans="1:29" s="37" customFormat="1" x14ac:dyDescent="0.25">
      <c r="A119" s="31" t="s">
        <v>89</v>
      </c>
      <c r="B119" s="38" t="s">
        <v>255</v>
      </c>
      <c r="C119" s="13" t="s">
        <v>241</v>
      </c>
      <c r="D119" s="23"/>
      <c r="E119" s="23"/>
      <c r="F119" s="23"/>
      <c r="G119" s="23"/>
      <c r="H119" s="23"/>
      <c r="I119" s="23"/>
      <c r="J119" s="22"/>
      <c r="K119" s="22"/>
      <c r="L119" s="22"/>
      <c r="M119" s="22"/>
      <c r="N119" s="34"/>
      <c r="O119" s="23"/>
      <c r="P119" s="22" t="s">
        <v>82</v>
      </c>
      <c r="Q119" s="22" t="s">
        <v>82</v>
      </c>
      <c r="R119" s="23" t="s">
        <v>82</v>
      </c>
      <c r="S119" s="22" t="s">
        <v>82</v>
      </c>
      <c r="T119" s="22" t="s">
        <v>82</v>
      </c>
      <c r="U119" s="23" t="s">
        <v>42</v>
      </c>
      <c r="V119" s="22" t="s">
        <v>42</v>
      </c>
      <c r="W119" s="22" t="s">
        <v>42</v>
      </c>
      <c r="X119" s="22" t="s">
        <v>42</v>
      </c>
      <c r="Y119" s="34"/>
      <c r="Z119" s="14"/>
      <c r="AA119" s="14"/>
      <c r="AB119" s="14"/>
    </row>
    <row r="120" spans="1:29" s="37" customFormat="1" x14ac:dyDescent="0.25">
      <c r="A120" s="31" t="s">
        <v>89</v>
      </c>
      <c r="B120" s="38" t="s">
        <v>256</v>
      </c>
      <c r="C120" s="13" t="s">
        <v>241</v>
      </c>
      <c r="D120" s="23"/>
      <c r="E120" s="22" t="s">
        <v>82</v>
      </c>
      <c r="F120" s="22" t="s">
        <v>82</v>
      </c>
      <c r="G120" s="23" t="s">
        <v>82</v>
      </c>
      <c r="H120" s="22" t="s">
        <v>82</v>
      </c>
      <c r="I120" s="22" t="s">
        <v>82</v>
      </c>
      <c r="J120" s="22" t="s">
        <v>42</v>
      </c>
      <c r="K120" s="22" t="s">
        <v>42</v>
      </c>
      <c r="L120" s="22" t="s">
        <v>42</v>
      </c>
      <c r="M120" s="22" t="s">
        <v>42</v>
      </c>
      <c r="N120" s="34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34"/>
      <c r="Z120" s="14"/>
      <c r="AA120" s="14"/>
      <c r="AB120" s="14"/>
    </row>
    <row r="121" spans="1:29" x14ac:dyDescent="0.25">
      <c r="A121" s="11">
        <v>3</v>
      </c>
      <c r="B121" s="12" t="s">
        <v>257</v>
      </c>
      <c r="D121" s="14"/>
      <c r="E121" s="14"/>
      <c r="F121" s="14"/>
      <c r="G121" s="15"/>
      <c r="H121" s="14"/>
      <c r="I121" s="14"/>
      <c r="J121" s="14"/>
      <c r="K121" s="14"/>
      <c r="L121" s="14"/>
      <c r="M121" s="14"/>
      <c r="N121" s="16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9" x14ac:dyDescent="0.25">
      <c r="A122" s="20" t="s">
        <v>258</v>
      </c>
      <c r="B122" s="21" t="s">
        <v>259</v>
      </c>
      <c r="C122" s="21"/>
      <c r="D122" s="22" t="s">
        <v>42</v>
      </c>
      <c r="E122" s="22" t="s">
        <v>42</v>
      </c>
      <c r="F122" s="22" t="s">
        <v>42</v>
      </c>
      <c r="G122" s="23" t="s">
        <v>42</v>
      </c>
      <c r="H122" s="22" t="s">
        <v>42</v>
      </c>
      <c r="I122" s="22" t="s">
        <v>42</v>
      </c>
      <c r="J122" s="22" t="s">
        <v>42</v>
      </c>
      <c r="K122" s="22" t="s">
        <v>42</v>
      </c>
      <c r="L122" s="22" t="s">
        <v>42</v>
      </c>
      <c r="M122" s="22" t="s">
        <v>42</v>
      </c>
      <c r="N122" s="24"/>
      <c r="O122" s="23" t="s">
        <v>42</v>
      </c>
      <c r="P122" s="23" t="s">
        <v>42</v>
      </c>
      <c r="Q122" s="23" t="s">
        <v>42</v>
      </c>
      <c r="R122" s="23" t="s">
        <v>42</v>
      </c>
      <c r="S122" s="23" t="s">
        <v>42</v>
      </c>
      <c r="T122" s="23" t="s">
        <v>42</v>
      </c>
      <c r="U122" s="23" t="s">
        <v>42</v>
      </c>
      <c r="V122" s="23" t="s">
        <v>42</v>
      </c>
      <c r="W122" s="23" t="s">
        <v>42</v>
      </c>
      <c r="X122" s="23" t="s">
        <v>42</v>
      </c>
      <c r="Y122" s="25"/>
      <c r="Z122" s="26" t="s">
        <v>42</v>
      </c>
      <c r="AA122" s="26" t="s">
        <v>42</v>
      </c>
      <c r="AC122" t="s">
        <v>799</v>
      </c>
    </row>
    <row r="123" spans="1:29" x14ac:dyDescent="0.25">
      <c r="A123" s="20" t="s">
        <v>260</v>
      </c>
      <c r="B123" s="21" t="s">
        <v>261</v>
      </c>
      <c r="C123" s="21"/>
      <c r="D123" s="22" t="s">
        <v>42</v>
      </c>
      <c r="E123" s="22" t="s">
        <v>42</v>
      </c>
      <c r="F123" s="22" t="s">
        <v>42</v>
      </c>
      <c r="G123" s="23" t="s">
        <v>42</v>
      </c>
      <c r="H123" s="22" t="s">
        <v>42</v>
      </c>
      <c r="I123" s="22" t="s">
        <v>42</v>
      </c>
      <c r="J123" s="22" t="s">
        <v>42</v>
      </c>
      <c r="K123" s="22" t="s">
        <v>42</v>
      </c>
      <c r="L123" s="22" t="s">
        <v>42</v>
      </c>
      <c r="M123" s="22" t="s">
        <v>42</v>
      </c>
      <c r="N123" s="24"/>
      <c r="O123" s="23" t="s">
        <v>42</v>
      </c>
      <c r="P123" s="23" t="s">
        <v>42</v>
      </c>
      <c r="Q123" s="23" t="s">
        <v>42</v>
      </c>
      <c r="R123" s="23" t="s">
        <v>42</v>
      </c>
      <c r="S123" s="23" t="s">
        <v>42</v>
      </c>
      <c r="T123" s="23" t="s">
        <v>42</v>
      </c>
      <c r="U123" s="23" t="s">
        <v>42</v>
      </c>
      <c r="V123" s="23" t="s">
        <v>42</v>
      </c>
      <c r="W123" s="23" t="s">
        <v>42</v>
      </c>
      <c r="X123" s="23" t="s">
        <v>42</v>
      </c>
      <c r="Y123" s="25"/>
      <c r="Z123" s="26" t="s">
        <v>42</v>
      </c>
      <c r="AA123" s="26" t="s">
        <v>42</v>
      </c>
      <c r="AC123" t="s">
        <v>800</v>
      </c>
    </row>
    <row r="124" spans="1:29" ht="30" x14ac:dyDescent="0.25">
      <c r="A124" s="20" t="s">
        <v>262</v>
      </c>
      <c r="B124" s="21" t="s">
        <v>263</v>
      </c>
      <c r="C124" s="21"/>
      <c r="D124" s="22"/>
      <c r="E124" s="22"/>
      <c r="F124" s="22"/>
      <c r="G124" s="23"/>
      <c r="H124" s="22"/>
      <c r="I124" s="22"/>
      <c r="J124" s="22"/>
      <c r="K124" s="22"/>
      <c r="L124" s="22"/>
      <c r="M124" s="22"/>
      <c r="N124" s="24"/>
      <c r="O124" s="23" t="s">
        <v>42</v>
      </c>
      <c r="P124" s="23" t="s">
        <v>42</v>
      </c>
      <c r="Q124" s="23" t="s">
        <v>42</v>
      </c>
      <c r="R124" s="23" t="s">
        <v>42</v>
      </c>
      <c r="S124" s="23" t="s">
        <v>42</v>
      </c>
      <c r="T124" s="23" t="s">
        <v>42</v>
      </c>
      <c r="U124" s="23" t="s">
        <v>42</v>
      </c>
      <c r="V124" s="23" t="s">
        <v>42</v>
      </c>
      <c r="W124" s="23" t="s">
        <v>42</v>
      </c>
      <c r="X124" s="23" t="s">
        <v>42</v>
      </c>
      <c r="Y124" s="25"/>
      <c r="Z124" s="26"/>
      <c r="AA124" s="26" t="s">
        <v>42</v>
      </c>
      <c r="AC124" t="s">
        <v>801</v>
      </c>
    </row>
    <row r="125" spans="1:29" ht="30" x14ac:dyDescent="0.25">
      <c r="A125" s="20" t="s">
        <v>264</v>
      </c>
      <c r="B125" s="21" t="s">
        <v>265</v>
      </c>
      <c r="C125" s="21"/>
      <c r="D125" s="22"/>
      <c r="E125" s="22"/>
      <c r="F125" s="22"/>
      <c r="G125" s="23"/>
      <c r="H125" s="22"/>
      <c r="I125" s="22"/>
      <c r="J125" s="22"/>
      <c r="K125" s="22"/>
      <c r="L125" s="22"/>
      <c r="M125" s="22"/>
      <c r="N125" s="24"/>
      <c r="O125" s="23" t="s">
        <v>42</v>
      </c>
      <c r="P125" s="23" t="s">
        <v>42</v>
      </c>
      <c r="Q125" s="23" t="s">
        <v>42</v>
      </c>
      <c r="R125" s="23" t="s">
        <v>42</v>
      </c>
      <c r="S125" s="23" t="s">
        <v>42</v>
      </c>
      <c r="T125" s="23" t="s">
        <v>42</v>
      </c>
      <c r="U125" s="23" t="s">
        <v>42</v>
      </c>
      <c r="V125" s="23" t="s">
        <v>42</v>
      </c>
      <c r="W125" s="23" t="s">
        <v>42</v>
      </c>
      <c r="X125" s="23" t="s">
        <v>42</v>
      </c>
      <c r="Y125" s="25"/>
      <c r="Z125" s="26"/>
      <c r="AA125" s="26" t="s">
        <v>42</v>
      </c>
      <c r="AC125" t="s">
        <v>802</v>
      </c>
    </row>
    <row r="126" spans="1:29" ht="30" x14ac:dyDescent="0.25">
      <c r="A126" s="20" t="s">
        <v>266</v>
      </c>
      <c r="B126" s="21" t="s">
        <v>267</v>
      </c>
      <c r="C126" s="21"/>
      <c r="D126" s="22" t="s">
        <v>42</v>
      </c>
      <c r="E126" s="22" t="s">
        <v>42</v>
      </c>
      <c r="F126" s="22" t="s">
        <v>42</v>
      </c>
      <c r="G126" s="23" t="s">
        <v>42</v>
      </c>
      <c r="H126" s="22" t="s">
        <v>42</v>
      </c>
      <c r="I126" s="22" t="s">
        <v>42</v>
      </c>
      <c r="J126" s="22" t="s">
        <v>42</v>
      </c>
      <c r="K126" s="22" t="s">
        <v>42</v>
      </c>
      <c r="L126" s="22" t="s">
        <v>42</v>
      </c>
      <c r="M126" s="22" t="s">
        <v>42</v>
      </c>
      <c r="N126" s="24"/>
      <c r="O126" s="23" t="s">
        <v>42</v>
      </c>
      <c r="P126" s="23" t="s">
        <v>42</v>
      </c>
      <c r="Q126" s="23" t="s">
        <v>42</v>
      </c>
      <c r="R126" s="23" t="s">
        <v>42</v>
      </c>
      <c r="S126" s="23" t="s">
        <v>42</v>
      </c>
      <c r="T126" s="23" t="s">
        <v>42</v>
      </c>
      <c r="U126" s="23" t="s">
        <v>42</v>
      </c>
      <c r="V126" s="23" t="s">
        <v>42</v>
      </c>
      <c r="W126" s="23" t="s">
        <v>42</v>
      </c>
      <c r="X126" s="23" t="s">
        <v>42</v>
      </c>
      <c r="Y126" s="25"/>
      <c r="Z126" s="26" t="s">
        <v>42</v>
      </c>
      <c r="AA126" s="23" t="s">
        <v>42</v>
      </c>
      <c r="AC126" t="s">
        <v>803</v>
      </c>
    </row>
    <row r="127" spans="1:29" ht="30" x14ac:dyDescent="0.25">
      <c r="A127" s="20" t="s">
        <v>268</v>
      </c>
      <c r="B127" s="21" t="s">
        <v>269</v>
      </c>
      <c r="D127" s="14" t="s">
        <v>42</v>
      </c>
      <c r="E127" s="14" t="s">
        <v>42</v>
      </c>
      <c r="F127" s="14" t="s">
        <v>42</v>
      </c>
      <c r="G127" s="15" t="s">
        <v>42</v>
      </c>
      <c r="H127" s="14" t="s">
        <v>42</v>
      </c>
      <c r="I127" s="14" t="s">
        <v>42</v>
      </c>
      <c r="J127" s="14" t="s">
        <v>42</v>
      </c>
      <c r="K127" s="14" t="s">
        <v>42</v>
      </c>
      <c r="L127" s="14" t="s">
        <v>42</v>
      </c>
      <c r="M127" s="14" t="s">
        <v>42</v>
      </c>
      <c r="N127" s="16"/>
      <c r="O127" s="15" t="s">
        <v>42</v>
      </c>
      <c r="P127" s="15" t="s">
        <v>42</v>
      </c>
      <c r="Q127" s="15" t="s">
        <v>42</v>
      </c>
      <c r="R127" s="15" t="s">
        <v>42</v>
      </c>
      <c r="S127" s="15" t="s">
        <v>42</v>
      </c>
      <c r="T127" s="15" t="s">
        <v>42</v>
      </c>
      <c r="U127" s="15" t="s">
        <v>42</v>
      </c>
      <c r="V127" s="15" t="s">
        <v>42</v>
      </c>
      <c r="W127" s="15" t="s">
        <v>42</v>
      </c>
      <c r="X127" s="15" t="s">
        <v>42</v>
      </c>
      <c r="Z127" s="17" t="s">
        <v>42</v>
      </c>
      <c r="AA127" s="17" t="s">
        <v>42</v>
      </c>
      <c r="AC127" t="s">
        <v>804</v>
      </c>
    </row>
    <row r="128" spans="1:29" x14ac:dyDescent="0.25">
      <c r="A128" s="20" t="s">
        <v>270</v>
      </c>
      <c r="B128" s="21" t="s">
        <v>271</v>
      </c>
      <c r="C128" s="21"/>
      <c r="D128" s="22" t="s">
        <v>42</v>
      </c>
      <c r="E128" s="22" t="s">
        <v>42</v>
      </c>
      <c r="F128" s="22" t="s">
        <v>42</v>
      </c>
      <c r="G128" s="23" t="s">
        <v>42</v>
      </c>
      <c r="H128" s="22" t="s">
        <v>42</v>
      </c>
      <c r="I128" s="22" t="s">
        <v>42</v>
      </c>
      <c r="J128" s="22" t="s">
        <v>42</v>
      </c>
      <c r="K128" s="22" t="s">
        <v>42</v>
      </c>
      <c r="L128" s="22" t="s">
        <v>42</v>
      </c>
      <c r="M128" s="22" t="s">
        <v>42</v>
      </c>
      <c r="N128" s="24"/>
      <c r="O128" s="23" t="s">
        <v>42</v>
      </c>
      <c r="P128" s="23" t="s">
        <v>42</v>
      </c>
      <c r="Q128" s="23" t="s">
        <v>42</v>
      </c>
      <c r="R128" s="23" t="s">
        <v>42</v>
      </c>
      <c r="S128" s="23" t="s">
        <v>42</v>
      </c>
      <c r="T128" s="23" t="s">
        <v>42</v>
      </c>
      <c r="U128" s="23" t="s">
        <v>42</v>
      </c>
      <c r="V128" s="23" t="s">
        <v>42</v>
      </c>
      <c r="W128" s="23" t="s">
        <v>42</v>
      </c>
      <c r="X128" s="23" t="s">
        <v>42</v>
      </c>
      <c r="Y128" s="25"/>
      <c r="Z128" s="26" t="s">
        <v>42</v>
      </c>
      <c r="AA128" s="26" t="s">
        <v>42</v>
      </c>
      <c r="AC128" t="s">
        <v>805</v>
      </c>
    </row>
    <row r="129" spans="4:24" x14ac:dyDescent="0.25">
      <c r="D129" s="14"/>
      <c r="E129" s="14"/>
      <c r="F129" s="14"/>
      <c r="G129" s="15"/>
      <c r="H129" s="14"/>
      <c r="I129" s="14"/>
      <c r="J129" s="14"/>
      <c r="K129" s="14"/>
      <c r="L129" s="14"/>
      <c r="M129" s="14"/>
      <c r="N129" s="16"/>
      <c r="O129" s="14"/>
      <c r="P129" s="14"/>
      <c r="Q129" s="14"/>
      <c r="R129" s="15"/>
      <c r="S129" s="14"/>
      <c r="T129" s="14"/>
      <c r="U129" s="15"/>
      <c r="V129" s="14"/>
      <c r="W129" s="14"/>
      <c r="X129" s="14"/>
    </row>
    <row r="130" spans="4:24" x14ac:dyDescent="0.25">
      <c r="D130" s="14"/>
      <c r="E130" s="14"/>
      <c r="F130" s="14"/>
      <c r="G130" s="15"/>
      <c r="H130" s="14"/>
      <c r="I130" s="14"/>
      <c r="J130" s="14"/>
      <c r="K130" s="14"/>
      <c r="L130" s="14"/>
      <c r="M130" s="14"/>
      <c r="N130" s="16"/>
      <c r="O130" s="14"/>
      <c r="P130" s="14"/>
      <c r="Q130" s="14"/>
      <c r="R130" s="15"/>
      <c r="S130" s="14"/>
      <c r="T130" s="14"/>
      <c r="U130" s="15"/>
      <c r="V130" s="14"/>
      <c r="W130" s="14"/>
      <c r="X130" s="14"/>
    </row>
    <row r="131" spans="4:24" x14ac:dyDescent="0.25">
      <c r="D131" s="14"/>
      <c r="E131" s="14"/>
      <c r="F131" s="14"/>
      <c r="G131" s="15"/>
      <c r="H131" s="14"/>
      <c r="I131" s="14"/>
      <c r="J131" s="14"/>
      <c r="K131" s="14"/>
      <c r="L131" s="14"/>
      <c r="M131" s="14"/>
      <c r="N131" s="16"/>
      <c r="O131" s="14"/>
      <c r="P131" s="14"/>
      <c r="Q131" s="14"/>
      <c r="R131" s="15"/>
      <c r="S131" s="14"/>
      <c r="T131" s="14"/>
      <c r="U131" s="15"/>
      <c r="V131" s="14"/>
      <c r="W131" s="14"/>
      <c r="X131" s="14"/>
    </row>
    <row r="132" spans="4:24" x14ac:dyDescent="0.25">
      <c r="D132" s="14"/>
      <c r="E132" s="14"/>
      <c r="F132" s="14"/>
      <c r="G132" s="15"/>
      <c r="H132" s="14"/>
      <c r="I132" s="14"/>
      <c r="J132" s="14"/>
      <c r="K132" s="14"/>
      <c r="L132" s="14"/>
      <c r="M132" s="14"/>
      <c r="N132" s="16"/>
      <c r="O132" s="14"/>
      <c r="P132" s="14"/>
      <c r="Q132" s="14"/>
      <c r="R132" s="15"/>
      <c r="S132" s="14"/>
      <c r="T132" s="14"/>
      <c r="U132" s="15"/>
      <c r="V132" s="14"/>
      <c r="W132" s="14"/>
      <c r="X132" s="14"/>
    </row>
    <row r="133" spans="4:24" x14ac:dyDescent="0.25">
      <c r="D133" s="14"/>
      <c r="E133" s="14"/>
      <c r="F133" s="14"/>
      <c r="G133" s="15"/>
      <c r="H133" s="14"/>
      <c r="I133" s="14"/>
      <c r="J133" s="14"/>
      <c r="K133" s="14"/>
      <c r="L133" s="14"/>
      <c r="M133" s="14"/>
      <c r="N133" s="16"/>
      <c r="O133" s="14"/>
      <c r="P133" s="14"/>
      <c r="Q133" s="14"/>
      <c r="R133" s="15"/>
      <c r="S133" s="14"/>
      <c r="T133" s="14"/>
      <c r="U133" s="15"/>
      <c r="V133" s="14"/>
      <c r="W133" s="14"/>
      <c r="X133" s="14"/>
    </row>
    <row r="134" spans="4:24" x14ac:dyDescent="0.25">
      <c r="D134" s="14"/>
      <c r="E134" s="14"/>
      <c r="F134" s="14"/>
      <c r="G134" s="15"/>
      <c r="H134" s="14"/>
      <c r="I134" s="14"/>
      <c r="J134" s="14"/>
      <c r="K134" s="14"/>
      <c r="L134" s="14"/>
      <c r="M134" s="14"/>
      <c r="N134" s="16"/>
      <c r="O134" s="14"/>
      <c r="P134" s="14"/>
      <c r="Q134" s="14"/>
      <c r="R134" s="15"/>
      <c r="S134" s="14"/>
      <c r="T134" s="14"/>
      <c r="U134" s="15"/>
      <c r="V134" s="14"/>
      <c r="W134" s="14"/>
      <c r="X134" s="14"/>
    </row>
    <row r="135" spans="4:24" x14ac:dyDescent="0.25">
      <c r="D135" s="14"/>
      <c r="E135" s="14"/>
      <c r="F135" s="14"/>
      <c r="G135" s="15"/>
      <c r="H135" s="14"/>
      <c r="I135" s="14"/>
      <c r="J135" s="14"/>
      <c r="K135" s="14"/>
      <c r="L135" s="14"/>
      <c r="M135" s="14"/>
      <c r="N135" s="16"/>
      <c r="O135" s="14"/>
      <c r="P135" s="14"/>
      <c r="Q135" s="14"/>
      <c r="R135" s="15"/>
      <c r="S135" s="14"/>
      <c r="T135" s="14"/>
      <c r="U135" s="15"/>
      <c r="V135" s="14"/>
      <c r="W135" s="14"/>
      <c r="X135" s="14"/>
    </row>
    <row r="136" spans="4:24" x14ac:dyDescent="0.25">
      <c r="D136" s="14"/>
      <c r="E136" s="14"/>
      <c r="F136" s="14"/>
      <c r="G136" s="15"/>
      <c r="H136" s="14"/>
      <c r="I136" s="14"/>
      <c r="J136" s="14"/>
      <c r="K136" s="14"/>
      <c r="L136" s="14"/>
      <c r="M136" s="14"/>
      <c r="N136" s="16"/>
      <c r="O136" s="14"/>
      <c r="P136" s="14"/>
      <c r="Q136" s="14"/>
      <c r="R136" s="15"/>
      <c r="S136" s="14"/>
      <c r="T136" s="14"/>
      <c r="U136" s="15"/>
      <c r="V136" s="14"/>
      <c r="W136" s="14"/>
      <c r="X136" s="14"/>
    </row>
    <row r="137" spans="4:24" x14ac:dyDescent="0.25">
      <c r="D137" s="14"/>
      <c r="E137" s="14"/>
      <c r="F137" s="14"/>
      <c r="G137" s="15"/>
      <c r="H137" s="14"/>
      <c r="I137" s="14"/>
      <c r="J137" s="14"/>
      <c r="K137" s="14"/>
      <c r="L137" s="14"/>
      <c r="M137" s="14"/>
      <c r="N137" s="16"/>
      <c r="O137" s="14"/>
      <c r="P137" s="14"/>
      <c r="Q137" s="14"/>
      <c r="R137" s="15"/>
      <c r="S137" s="14"/>
      <c r="T137" s="14"/>
      <c r="U137" s="15"/>
      <c r="V137" s="14"/>
      <c r="W137" s="14"/>
      <c r="X137" s="14"/>
    </row>
  </sheetData>
  <mergeCells count="1">
    <mergeCell ref="A1:B1"/>
  </mergeCells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419"/>
  <sheetViews>
    <sheetView workbookViewId="0">
      <pane xSplit="2" ySplit="1" topLeftCell="C2" activePane="bottomRight" state="frozen"/>
      <selection activeCell="C46" sqref="C46"/>
      <selection pane="topRight" activeCell="C46" sqref="C46"/>
      <selection pane="bottomLeft" activeCell="C46" sqref="C46"/>
      <selection pane="bottomRight" activeCell="C46" sqref="C46"/>
    </sheetView>
  </sheetViews>
  <sheetFormatPr baseColWidth="10" defaultColWidth="10.85546875" defaultRowHeight="15" x14ac:dyDescent="0.25"/>
  <cols>
    <col min="1" max="1" width="10.85546875" style="20" bestFit="1" customWidth="1"/>
    <col min="2" max="2" width="46.85546875" style="21" customWidth="1"/>
    <col min="3" max="3" width="29.85546875" customWidth="1"/>
    <col min="4" max="6" width="6.85546875" style="26" customWidth="1"/>
    <col min="7" max="7" width="6.85546875" style="60" customWidth="1"/>
    <col min="8" max="12" width="6.85546875" style="26" customWidth="1"/>
    <col min="13" max="13" width="6.85546875" style="60" customWidth="1"/>
    <col min="14" max="14" width="1.28515625" style="59" customWidth="1"/>
    <col min="15" max="24" width="6.85546875" customWidth="1"/>
    <col min="25" max="25" width="1.28515625" style="59" customWidth="1"/>
    <col min="26" max="28" width="6.85546875" customWidth="1"/>
    <col min="29" max="29" width="1.85546875" style="59" customWidth="1"/>
    <col min="30" max="32" width="6.85546875" customWidth="1"/>
  </cols>
  <sheetData>
    <row r="1" spans="1:44" s="4" customFormat="1" ht="84" customHeight="1" x14ac:dyDescent="0.25">
      <c r="A1" s="101" t="s">
        <v>12</v>
      </c>
      <c r="B1" s="101"/>
      <c r="C1" s="4" t="s">
        <v>13</v>
      </c>
      <c r="D1" s="10" t="s">
        <v>14</v>
      </c>
      <c r="E1" s="10" t="s">
        <v>15</v>
      </c>
      <c r="F1" s="10" t="s">
        <v>16</v>
      </c>
      <c r="G1" s="76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76" t="s">
        <v>23</v>
      </c>
      <c r="N1" s="59"/>
      <c r="O1" s="10" t="s">
        <v>714</v>
      </c>
      <c r="P1" s="10" t="s">
        <v>713</v>
      </c>
      <c r="Q1" s="10" t="s">
        <v>712</v>
      </c>
      <c r="R1" s="10" t="s">
        <v>711</v>
      </c>
      <c r="S1" s="10" t="s">
        <v>710</v>
      </c>
      <c r="T1" s="10" t="s">
        <v>709</v>
      </c>
      <c r="U1" s="10" t="s">
        <v>708</v>
      </c>
      <c r="V1" s="10" t="s">
        <v>707</v>
      </c>
      <c r="W1" s="10" t="s">
        <v>706</v>
      </c>
      <c r="X1" s="10" t="s">
        <v>705</v>
      </c>
      <c r="Y1" s="59"/>
      <c r="Z1" s="10" t="s">
        <v>24</v>
      </c>
      <c r="AA1" s="10" t="s">
        <v>704</v>
      </c>
      <c r="AB1" s="10" t="s">
        <v>703</v>
      </c>
      <c r="AC1" s="59"/>
      <c r="AD1" s="10" t="s">
        <v>34</v>
      </c>
      <c r="AE1" s="10" t="s">
        <v>702</v>
      </c>
      <c r="AF1" s="10" t="s">
        <v>35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30" x14ac:dyDescent="0.25">
      <c r="A2" s="11">
        <v>1</v>
      </c>
      <c r="B2" s="12" t="s">
        <v>37</v>
      </c>
      <c r="O2" s="26"/>
      <c r="P2" s="26"/>
      <c r="Q2" s="26"/>
      <c r="R2" s="26"/>
      <c r="S2" s="26"/>
      <c r="T2" s="26"/>
      <c r="U2" s="26"/>
      <c r="V2" s="26"/>
      <c r="W2" s="26"/>
      <c r="X2" s="26"/>
      <c r="Z2" s="26"/>
      <c r="AA2" s="26"/>
      <c r="AB2" s="26"/>
      <c r="AD2" s="26"/>
      <c r="AE2" s="26"/>
      <c r="AF2" s="26"/>
      <c r="AG2" s="26"/>
      <c r="AH2" s="26"/>
      <c r="AI2" s="26"/>
    </row>
    <row r="3" spans="1:44" x14ac:dyDescent="0.25">
      <c r="A3" s="18" t="s">
        <v>38</v>
      </c>
      <c r="B3" s="19" t="s">
        <v>39</v>
      </c>
      <c r="O3" s="26"/>
      <c r="P3" s="26"/>
      <c r="Q3" s="26"/>
      <c r="R3" s="26"/>
      <c r="S3" s="26"/>
      <c r="T3" s="26"/>
      <c r="U3" s="26"/>
      <c r="V3" s="26"/>
      <c r="W3" s="26"/>
      <c r="X3" s="26"/>
      <c r="Z3" s="26"/>
      <c r="AA3" s="26"/>
      <c r="AB3" s="26"/>
      <c r="AD3" s="26"/>
      <c r="AE3" s="26"/>
      <c r="AF3" s="26"/>
      <c r="AG3" s="26"/>
      <c r="AH3" s="26"/>
      <c r="AI3" s="26"/>
    </row>
    <row r="4" spans="1:44" x14ac:dyDescent="0.25">
      <c r="A4" s="20" t="s">
        <v>40</v>
      </c>
      <c r="B4" s="21" t="s">
        <v>701</v>
      </c>
      <c r="D4" s="26" t="s">
        <v>42</v>
      </c>
      <c r="E4" s="26" t="s">
        <v>42</v>
      </c>
      <c r="F4" s="26" t="s">
        <v>42</v>
      </c>
      <c r="G4" s="60" t="s">
        <v>42</v>
      </c>
      <c r="H4" s="26" t="s">
        <v>42</v>
      </c>
      <c r="I4" s="26" t="s">
        <v>42</v>
      </c>
      <c r="J4" s="26" t="s">
        <v>42</v>
      </c>
      <c r="K4" s="26" t="s">
        <v>42</v>
      </c>
      <c r="L4" s="26" t="s">
        <v>42</v>
      </c>
      <c r="M4" s="60" t="s">
        <v>42</v>
      </c>
      <c r="O4" s="26" t="s">
        <v>42</v>
      </c>
      <c r="P4" s="26" t="s">
        <v>42</v>
      </c>
      <c r="Q4" s="26" t="s">
        <v>42</v>
      </c>
      <c r="R4" s="26" t="s">
        <v>42</v>
      </c>
      <c r="S4" s="26" t="s">
        <v>42</v>
      </c>
      <c r="T4" s="26" t="s">
        <v>42</v>
      </c>
      <c r="U4" s="26" t="s">
        <v>42</v>
      </c>
      <c r="V4" s="26" t="s">
        <v>42</v>
      </c>
      <c r="W4" s="26" t="s">
        <v>42</v>
      </c>
      <c r="X4" s="26" t="s">
        <v>42</v>
      </c>
      <c r="Z4" s="26" t="s">
        <v>42</v>
      </c>
      <c r="AA4" s="26" t="s">
        <v>42</v>
      </c>
      <c r="AB4" s="26" t="s">
        <v>42</v>
      </c>
      <c r="AD4" s="26" t="s">
        <v>42</v>
      </c>
      <c r="AE4" s="26" t="s">
        <v>42</v>
      </c>
      <c r="AF4" s="26" t="s">
        <v>42</v>
      </c>
      <c r="AG4" s="26"/>
      <c r="AH4" s="26"/>
      <c r="AI4" s="26"/>
    </row>
    <row r="5" spans="1:44" x14ac:dyDescent="0.25">
      <c r="A5" s="20" t="s">
        <v>43</v>
      </c>
      <c r="B5" s="27" t="s">
        <v>700</v>
      </c>
      <c r="D5" s="26" t="s">
        <v>42</v>
      </c>
      <c r="E5" s="26" t="s">
        <v>42</v>
      </c>
      <c r="F5" s="26" t="s">
        <v>42</v>
      </c>
      <c r="G5" s="60" t="s">
        <v>42</v>
      </c>
      <c r="H5" s="26" t="s">
        <v>42</v>
      </c>
      <c r="I5" s="26" t="s">
        <v>42</v>
      </c>
      <c r="J5" s="26" t="s">
        <v>42</v>
      </c>
      <c r="K5" s="26" t="s">
        <v>42</v>
      </c>
      <c r="L5" s="26" t="s">
        <v>42</v>
      </c>
      <c r="M5" s="60" t="s">
        <v>42</v>
      </c>
      <c r="O5" s="26" t="s">
        <v>42</v>
      </c>
      <c r="P5" s="26" t="s">
        <v>42</v>
      </c>
      <c r="Q5" s="26" t="s">
        <v>42</v>
      </c>
      <c r="R5" s="26" t="s">
        <v>42</v>
      </c>
      <c r="S5" s="26" t="s">
        <v>42</v>
      </c>
      <c r="T5" s="26" t="s">
        <v>42</v>
      </c>
      <c r="U5" s="26" t="s">
        <v>42</v>
      </c>
      <c r="V5" s="26" t="s">
        <v>42</v>
      </c>
      <c r="W5" s="26" t="s">
        <v>42</v>
      </c>
      <c r="X5" s="26" t="s">
        <v>42</v>
      </c>
      <c r="Z5" s="26" t="s">
        <v>42</v>
      </c>
      <c r="AA5" s="26" t="s">
        <v>42</v>
      </c>
      <c r="AB5" s="26" t="s">
        <v>42</v>
      </c>
      <c r="AD5" s="26" t="s">
        <v>42</v>
      </c>
      <c r="AE5" s="26" t="s">
        <v>42</v>
      </c>
      <c r="AF5" s="26" t="s">
        <v>42</v>
      </c>
      <c r="AG5" s="26"/>
      <c r="AH5" s="26"/>
      <c r="AI5" s="26"/>
    </row>
    <row r="6" spans="1:44" x14ac:dyDescent="0.25">
      <c r="A6" s="20" t="s">
        <v>45</v>
      </c>
      <c r="B6" s="21" t="s">
        <v>699</v>
      </c>
      <c r="D6" s="26" t="s">
        <v>42</v>
      </c>
      <c r="E6" s="26" t="s">
        <v>42</v>
      </c>
      <c r="F6" s="26" t="s">
        <v>42</v>
      </c>
      <c r="G6" s="60" t="s">
        <v>42</v>
      </c>
      <c r="H6" s="26" t="s">
        <v>42</v>
      </c>
      <c r="I6" s="26" t="s">
        <v>42</v>
      </c>
      <c r="J6" s="26" t="s">
        <v>42</v>
      </c>
      <c r="K6" s="26" t="s">
        <v>42</v>
      </c>
      <c r="L6" s="26" t="s">
        <v>42</v>
      </c>
      <c r="M6" s="60" t="s">
        <v>42</v>
      </c>
      <c r="O6" s="26" t="s">
        <v>42</v>
      </c>
      <c r="P6" s="26" t="s">
        <v>42</v>
      </c>
      <c r="Q6" s="26" t="s">
        <v>42</v>
      </c>
      <c r="R6" s="26" t="s">
        <v>42</v>
      </c>
      <c r="S6" s="26" t="s">
        <v>42</v>
      </c>
      <c r="T6" s="26" t="s">
        <v>42</v>
      </c>
      <c r="U6" s="26" t="s">
        <v>42</v>
      </c>
      <c r="V6" s="26" t="s">
        <v>42</v>
      </c>
      <c r="W6" s="26" t="s">
        <v>42</v>
      </c>
      <c r="X6" s="26" t="s">
        <v>42</v>
      </c>
      <c r="Z6" s="26" t="s">
        <v>42</v>
      </c>
      <c r="AA6" s="26" t="s">
        <v>42</v>
      </c>
      <c r="AB6" s="26" t="s">
        <v>42</v>
      </c>
      <c r="AD6" s="26" t="s">
        <v>42</v>
      </c>
      <c r="AE6" s="26" t="s">
        <v>42</v>
      </c>
      <c r="AF6" s="26" t="s">
        <v>42</v>
      </c>
      <c r="AG6" s="26"/>
      <c r="AH6" s="26"/>
      <c r="AI6" s="26"/>
    </row>
    <row r="7" spans="1:44" x14ac:dyDescent="0.25">
      <c r="A7" s="20" t="s">
        <v>47</v>
      </c>
      <c r="B7" s="21" t="s">
        <v>44</v>
      </c>
      <c r="D7" s="26" t="s">
        <v>42</v>
      </c>
      <c r="E7" s="26" t="s">
        <v>42</v>
      </c>
      <c r="F7" s="26" t="s">
        <v>42</v>
      </c>
      <c r="G7" s="60" t="s">
        <v>42</v>
      </c>
      <c r="H7" s="26" t="s">
        <v>42</v>
      </c>
      <c r="I7" s="26" t="s">
        <v>42</v>
      </c>
      <c r="J7" s="26" t="s">
        <v>42</v>
      </c>
      <c r="K7" s="26" t="s">
        <v>42</v>
      </c>
      <c r="L7" s="26" t="s">
        <v>42</v>
      </c>
      <c r="M7" s="60" t="s">
        <v>42</v>
      </c>
      <c r="O7" s="26" t="s">
        <v>42</v>
      </c>
      <c r="P7" s="26" t="s">
        <v>42</v>
      </c>
      <c r="Q7" s="26" t="s">
        <v>42</v>
      </c>
      <c r="R7" s="26" t="s">
        <v>42</v>
      </c>
      <c r="S7" s="26" t="s">
        <v>42</v>
      </c>
      <c r="T7" s="26" t="s">
        <v>42</v>
      </c>
      <c r="U7" s="26" t="s">
        <v>42</v>
      </c>
      <c r="V7" s="26" t="s">
        <v>42</v>
      </c>
      <c r="W7" s="26" t="s">
        <v>42</v>
      </c>
      <c r="X7" s="26" t="s">
        <v>42</v>
      </c>
      <c r="Z7" s="26" t="s">
        <v>42</v>
      </c>
      <c r="AA7" s="26" t="s">
        <v>42</v>
      </c>
      <c r="AB7" s="26" t="s">
        <v>42</v>
      </c>
      <c r="AD7" s="26" t="s">
        <v>42</v>
      </c>
      <c r="AE7" s="26" t="s">
        <v>42</v>
      </c>
      <c r="AF7" s="26" t="s">
        <v>42</v>
      </c>
      <c r="AG7" s="26"/>
      <c r="AH7" s="26"/>
      <c r="AI7" s="26"/>
    </row>
    <row r="8" spans="1:44" x14ac:dyDescent="0.25">
      <c r="A8" s="20" t="s">
        <v>49</v>
      </c>
      <c r="B8" s="21" t="s">
        <v>698</v>
      </c>
      <c r="D8" s="26" t="s">
        <v>42</v>
      </c>
      <c r="E8" s="26" t="s">
        <v>42</v>
      </c>
      <c r="F8" s="26" t="s">
        <v>42</v>
      </c>
      <c r="G8" s="60" t="s">
        <v>42</v>
      </c>
      <c r="H8" s="26" t="s">
        <v>42</v>
      </c>
      <c r="I8" s="26" t="s">
        <v>42</v>
      </c>
      <c r="J8" s="26" t="s">
        <v>42</v>
      </c>
      <c r="K8" s="26" t="s">
        <v>42</v>
      </c>
      <c r="L8" s="26" t="s">
        <v>42</v>
      </c>
      <c r="M8" s="60" t="s">
        <v>42</v>
      </c>
      <c r="O8" s="26" t="s">
        <v>42</v>
      </c>
      <c r="P8" s="26" t="s">
        <v>42</v>
      </c>
      <c r="Q8" s="26" t="s">
        <v>42</v>
      </c>
      <c r="R8" s="26" t="s">
        <v>42</v>
      </c>
      <c r="S8" s="26" t="s">
        <v>42</v>
      </c>
      <c r="T8" s="26" t="s">
        <v>42</v>
      </c>
      <c r="U8" s="26" t="s">
        <v>42</v>
      </c>
      <c r="V8" s="26" t="s">
        <v>42</v>
      </c>
      <c r="W8" s="26" t="s">
        <v>42</v>
      </c>
      <c r="X8" s="26" t="s">
        <v>42</v>
      </c>
      <c r="Z8" s="26" t="s">
        <v>42</v>
      </c>
      <c r="AA8" s="26" t="s">
        <v>42</v>
      </c>
      <c r="AB8" s="26" t="s">
        <v>42</v>
      </c>
      <c r="AD8" s="26" t="s">
        <v>42</v>
      </c>
      <c r="AE8" s="26" t="s">
        <v>42</v>
      </c>
      <c r="AF8" s="26" t="s">
        <v>42</v>
      </c>
      <c r="AG8" s="26"/>
      <c r="AH8" s="26"/>
      <c r="AI8" s="26"/>
    </row>
    <row r="9" spans="1:44" ht="30" x14ac:dyDescent="0.25">
      <c r="A9" s="20" t="s">
        <v>54</v>
      </c>
      <c r="B9" s="21" t="s">
        <v>697</v>
      </c>
      <c r="D9" s="26" t="s">
        <v>42</v>
      </c>
      <c r="E9" s="26" t="s">
        <v>42</v>
      </c>
      <c r="F9" s="26" t="s">
        <v>42</v>
      </c>
      <c r="G9" s="60" t="s">
        <v>42</v>
      </c>
      <c r="H9" s="26" t="s">
        <v>42</v>
      </c>
      <c r="I9" s="26" t="s">
        <v>42</v>
      </c>
      <c r="J9" s="26" t="s">
        <v>42</v>
      </c>
      <c r="K9" s="26" t="s">
        <v>42</v>
      </c>
      <c r="L9" s="26" t="s">
        <v>42</v>
      </c>
      <c r="M9" s="60" t="s">
        <v>42</v>
      </c>
      <c r="O9" s="26" t="s">
        <v>42</v>
      </c>
      <c r="P9" s="26" t="s">
        <v>42</v>
      </c>
      <c r="Q9" s="26" t="s">
        <v>42</v>
      </c>
      <c r="R9" s="26" t="s">
        <v>42</v>
      </c>
      <c r="S9" s="26" t="s">
        <v>42</v>
      </c>
      <c r="T9" s="26" t="s">
        <v>42</v>
      </c>
      <c r="U9" s="26" t="s">
        <v>42</v>
      </c>
      <c r="V9" s="26" t="s">
        <v>42</v>
      </c>
      <c r="W9" s="26" t="s">
        <v>42</v>
      </c>
      <c r="X9" s="26" t="s">
        <v>42</v>
      </c>
      <c r="Z9" s="26" t="s">
        <v>42</v>
      </c>
      <c r="AA9" s="26" t="s">
        <v>42</v>
      </c>
      <c r="AB9" s="26" t="s">
        <v>42</v>
      </c>
      <c r="AD9" s="26" t="s">
        <v>42</v>
      </c>
      <c r="AE9" s="26" t="s">
        <v>42</v>
      </c>
      <c r="AF9" s="26" t="s">
        <v>42</v>
      </c>
      <c r="AG9" s="26"/>
      <c r="AH9" s="26"/>
      <c r="AI9" s="26"/>
    </row>
    <row r="10" spans="1:44" x14ac:dyDescent="0.25">
      <c r="A10" s="20" t="s">
        <v>56</v>
      </c>
      <c r="B10" s="21" t="s">
        <v>696</v>
      </c>
      <c r="D10" s="26" t="s">
        <v>42</v>
      </c>
      <c r="E10" s="26" t="s">
        <v>42</v>
      </c>
      <c r="F10" s="26" t="s">
        <v>42</v>
      </c>
      <c r="G10" s="60" t="s">
        <v>42</v>
      </c>
      <c r="H10" s="26" t="s">
        <v>42</v>
      </c>
      <c r="I10" s="26" t="s">
        <v>42</v>
      </c>
      <c r="J10" s="26" t="s">
        <v>42</v>
      </c>
      <c r="K10" s="26" t="s">
        <v>42</v>
      </c>
      <c r="L10" s="26" t="s">
        <v>42</v>
      </c>
      <c r="M10" s="60" t="s">
        <v>42</v>
      </c>
      <c r="O10" s="26" t="s">
        <v>42</v>
      </c>
      <c r="P10" s="26" t="s">
        <v>42</v>
      </c>
      <c r="Q10" s="26" t="s">
        <v>42</v>
      </c>
      <c r="R10" s="26" t="s">
        <v>42</v>
      </c>
      <c r="S10" s="26" t="s">
        <v>42</v>
      </c>
      <c r="T10" s="26" t="s">
        <v>42</v>
      </c>
      <c r="U10" s="26" t="s">
        <v>42</v>
      </c>
      <c r="V10" s="26" t="s">
        <v>42</v>
      </c>
      <c r="W10" s="26" t="s">
        <v>42</v>
      </c>
      <c r="X10" s="26" t="s">
        <v>42</v>
      </c>
      <c r="Z10" s="26" t="s">
        <v>42</v>
      </c>
      <c r="AA10" s="26" t="s">
        <v>42</v>
      </c>
      <c r="AB10" s="26" t="s">
        <v>42</v>
      </c>
      <c r="AD10" s="26" t="s">
        <v>42</v>
      </c>
      <c r="AE10" s="26" t="s">
        <v>42</v>
      </c>
      <c r="AF10" s="26" t="s">
        <v>42</v>
      </c>
      <c r="AG10" s="26"/>
      <c r="AH10" s="26"/>
      <c r="AI10" s="26"/>
    </row>
    <row r="11" spans="1:44" x14ac:dyDescent="0.25">
      <c r="A11" s="20" t="s">
        <v>695</v>
      </c>
      <c r="B11" s="21" t="s">
        <v>694</v>
      </c>
      <c r="C11" t="s">
        <v>693</v>
      </c>
      <c r="D11" s="26" t="s">
        <v>42</v>
      </c>
      <c r="E11" s="26" t="s">
        <v>42</v>
      </c>
      <c r="F11" s="26" t="s">
        <v>42</v>
      </c>
      <c r="G11" s="60" t="s">
        <v>42</v>
      </c>
      <c r="H11" s="26" t="s">
        <v>42</v>
      </c>
      <c r="I11" s="26" t="s">
        <v>42</v>
      </c>
      <c r="J11" s="26" t="s">
        <v>42</v>
      </c>
      <c r="K11" s="26" t="s">
        <v>42</v>
      </c>
      <c r="L11" s="26" t="s">
        <v>42</v>
      </c>
      <c r="M11" s="60" t="s">
        <v>42</v>
      </c>
      <c r="O11" s="60" t="s">
        <v>42</v>
      </c>
      <c r="P11" s="60" t="s">
        <v>42</v>
      </c>
      <c r="Q11" s="60" t="s">
        <v>42</v>
      </c>
      <c r="R11" s="60" t="s">
        <v>42</v>
      </c>
      <c r="S11" s="60" t="s">
        <v>42</v>
      </c>
      <c r="T11" s="60" t="s">
        <v>42</v>
      </c>
      <c r="U11" s="60" t="s">
        <v>42</v>
      </c>
      <c r="V11" s="60" t="s">
        <v>42</v>
      </c>
      <c r="W11" s="60" t="s">
        <v>42</v>
      </c>
      <c r="X11" s="60" t="s">
        <v>42</v>
      </c>
      <c r="Z11" s="60" t="s">
        <v>42</v>
      </c>
      <c r="AA11" s="60" t="s">
        <v>42</v>
      </c>
      <c r="AB11" s="60" t="s">
        <v>42</v>
      </c>
      <c r="AD11" s="26" t="s">
        <v>42</v>
      </c>
      <c r="AE11" s="60" t="s">
        <v>42</v>
      </c>
      <c r="AF11" s="60" t="s">
        <v>42</v>
      </c>
      <c r="AG11" s="26"/>
      <c r="AH11" s="26"/>
      <c r="AI11" s="26"/>
    </row>
    <row r="12" spans="1:44" x14ac:dyDescent="0.25">
      <c r="A12" s="20" t="s">
        <v>58</v>
      </c>
      <c r="B12" s="21" t="s">
        <v>692</v>
      </c>
      <c r="D12" s="26" t="s">
        <v>42</v>
      </c>
      <c r="E12" s="26" t="s">
        <v>42</v>
      </c>
      <c r="F12" s="26" t="s">
        <v>42</v>
      </c>
      <c r="G12" s="60" t="s">
        <v>42</v>
      </c>
      <c r="H12" s="26" t="s">
        <v>42</v>
      </c>
      <c r="I12" s="26" t="s">
        <v>42</v>
      </c>
      <c r="J12" s="26" t="s">
        <v>42</v>
      </c>
      <c r="K12" s="26" t="s">
        <v>42</v>
      </c>
      <c r="L12" s="26" t="s">
        <v>42</v>
      </c>
      <c r="M12" s="60" t="s">
        <v>42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Z12" s="26" t="s">
        <v>42</v>
      </c>
      <c r="AA12" s="26" t="s">
        <v>42</v>
      </c>
      <c r="AB12" s="26" t="s">
        <v>42</v>
      </c>
      <c r="AD12" s="26" t="s">
        <v>42</v>
      </c>
      <c r="AE12" s="26"/>
      <c r="AF12" s="26" t="s">
        <v>42</v>
      </c>
      <c r="AG12" s="26"/>
      <c r="AH12" s="26"/>
      <c r="AI12" s="26"/>
    </row>
    <row r="13" spans="1:44" x14ac:dyDescent="0.25">
      <c r="A13" s="20" t="s">
        <v>60</v>
      </c>
      <c r="B13" s="21" t="s">
        <v>61</v>
      </c>
      <c r="D13" s="26" t="s">
        <v>42</v>
      </c>
      <c r="E13" s="26" t="s">
        <v>42</v>
      </c>
      <c r="F13" s="26" t="s">
        <v>42</v>
      </c>
      <c r="G13" s="60" t="s">
        <v>42</v>
      </c>
      <c r="H13" s="26" t="s">
        <v>42</v>
      </c>
      <c r="I13" s="26" t="s">
        <v>42</v>
      </c>
      <c r="J13" s="26" t="s">
        <v>42</v>
      </c>
      <c r="K13" s="26" t="s">
        <v>42</v>
      </c>
      <c r="L13" s="26" t="s">
        <v>42</v>
      </c>
      <c r="M13" s="60" t="s">
        <v>42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Z13" s="26"/>
      <c r="AA13" s="26"/>
      <c r="AB13" s="26"/>
      <c r="AD13" s="26"/>
      <c r="AE13" s="26"/>
      <c r="AF13" s="26"/>
      <c r="AG13" s="26"/>
      <c r="AH13" s="26"/>
      <c r="AI13" s="26"/>
    </row>
    <row r="14" spans="1:44" ht="30" x14ac:dyDescent="0.25">
      <c r="A14" s="20" t="s">
        <v>62</v>
      </c>
      <c r="B14" s="21" t="s">
        <v>63</v>
      </c>
      <c r="D14" s="26" t="s">
        <v>42</v>
      </c>
      <c r="E14" s="26" t="s">
        <v>42</v>
      </c>
      <c r="F14" s="26" t="s">
        <v>42</v>
      </c>
      <c r="G14" s="60" t="s">
        <v>42</v>
      </c>
      <c r="H14" s="26" t="s">
        <v>42</v>
      </c>
      <c r="I14" s="26" t="s">
        <v>42</v>
      </c>
      <c r="J14" s="26" t="s">
        <v>42</v>
      </c>
      <c r="K14" s="26" t="s">
        <v>42</v>
      </c>
      <c r="L14" s="26" t="s">
        <v>42</v>
      </c>
      <c r="M14" s="60" t="s">
        <v>42</v>
      </c>
      <c r="O14" s="26" t="s">
        <v>42</v>
      </c>
      <c r="P14" s="26" t="s">
        <v>42</v>
      </c>
      <c r="Q14" s="26" t="s">
        <v>42</v>
      </c>
      <c r="R14" s="26" t="s">
        <v>42</v>
      </c>
      <c r="S14" s="26" t="s">
        <v>42</v>
      </c>
      <c r="T14" s="26" t="s">
        <v>42</v>
      </c>
      <c r="U14" s="26" t="s">
        <v>42</v>
      </c>
      <c r="V14" s="26" t="s">
        <v>42</v>
      </c>
      <c r="W14" s="26" t="s">
        <v>42</v>
      </c>
      <c r="X14" s="26" t="s">
        <v>42</v>
      </c>
      <c r="Z14" s="26" t="s">
        <v>42</v>
      </c>
      <c r="AA14" s="26" t="s">
        <v>42</v>
      </c>
      <c r="AB14" s="26" t="s">
        <v>42</v>
      </c>
      <c r="AD14" s="26" t="s">
        <v>42</v>
      </c>
      <c r="AE14" s="26" t="s">
        <v>42</v>
      </c>
      <c r="AF14" s="26" t="s">
        <v>42</v>
      </c>
      <c r="AG14" s="26"/>
      <c r="AH14" s="26"/>
      <c r="AI14" s="26"/>
    </row>
    <row r="15" spans="1:44" ht="30" x14ac:dyDescent="0.25">
      <c r="A15" s="75" t="s">
        <v>691</v>
      </c>
      <c r="B15" s="21" t="s">
        <v>65</v>
      </c>
      <c r="D15" s="26" t="s">
        <v>42</v>
      </c>
      <c r="E15" s="26" t="s">
        <v>42</v>
      </c>
      <c r="F15" s="26" t="s">
        <v>42</v>
      </c>
      <c r="G15" s="60" t="s">
        <v>42</v>
      </c>
      <c r="H15" s="26" t="s">
        <v>42</v>
      </c>
      <c r="I15" s="26" t="s">
        <v>42</v>
      </c>
      <c r="J15" s="26" t="s">
        <v>42</v>
      </c>
      <c r="K15" s="26" t="s">
        <v>42</v>
      </c>
      <c r="L15" s="26" t="s">
        <v>42</v>
      </c>
      <c r="M15" s="60" t="s">
        <v>42</v>
      </c>
      <c r="O15" s="26" t="s">
        <v>42</v>
      </c>
      <c r="P15" s="26" t="s">
        <v>42</v>
      </c>
      <c r="Q15" s="26" t="s">
        <v>42</v>
      </c>
      <c r="R15" s="26" t="s">
        <v>42</v>
      </c>
      <c r="S15" s="26" t="s">
        <v>42</v>
      </c>
      <c r="T15" s="26" t="s">
        <v>42</v>
      </c>
      <c r="U15" s="26" t="s">
        <v>42</v>
      </c>
      <c r="V15" s="26" t="s">
        <v>42</v>
      </c>
      <c r="W15" s="26" t="s">
        <v>42</v>
      </c>
      <c r="X15" s="26" t="s">
        <v>42</v>
      </c>
      <c r="Z15" s="26" t="s">
        <v>42</v>
      </c>
      <c r="AA15" s="26" t="s">
        <v>42</v>
      </c>
      <c r="AB15" s="26" t="s">
        <v>42</v>
      </c>
      <c r="AD15" s="26"/>
      <c r="AE15" s="26"/>
      <c r="AF15" s="26"/>
      <c r="AG15" s="26"/>
      <c r="AH15" s="26"/>
      <c r="AI15" s="26"/>
    </row>
    <row r="16" spans="1:44" ht="30" x14ac:dyDescent="0.25">
      <c r="A16" s="75" t="s">
        <v>690</v>
      </c>
      <c r="B16" s="21" t="s">
        <v>67</v>
      </c>
      <c r="D16" s="26" t="s">
        <v>42</v>
      </c>
      <c r="E16" s="26" t="s">
        <v>42</v>
      </c>
      <c r="F16" s="26" t="s">
        <v>42</v>
      </c>
      <c r="G16" s="60" t="s">
        <v>42</v>
      </c>
      <c r="H16" s="26" t="s">
        <v>42</v>
      </c>
      <c r="I16" s="26" t="s">
        <v>42</v>
      </c>
      <c r="O16" s="26" t="s">
        <v>42</v>
      </c>
      <c r="P16" s="26" t="s">
        <v>42</v>
      </c>
      <c r="Q16" s="26" t="s">
        <v>42</v>
      </c>
      <c r="R16" s="26" t="s">
        <v>42</v>
      </c>
      <c r="S16" s="26" t="s">
        <v>42</v>
      </c>
      <c r="T16" s="26" t="s">
        <v>42</v>
      </c>
      <c r="U16" s="26"/>
      <c r="V16" s="26"/>
      <c r="W16" s="26"/>
      <c r="X16" s="26"/>
      <c r="Z16" s="26"/>
      <c r="AA16" s="26"/>
      <c r="AB16" s="26"/>
      <c r="AD16" s="26"/>
      <c r="AE16" s="26"/>
      <c r="AF16" s="26"/>
      <c r="AG16" s="26"/>
      <c r="AH16" s="26"/>
      <c r="AI16" s="26"/>
    </row>
    <row r="17" spans="1:35" x14ac:dyDescent="0.25">
      <c r="A17" s="20" t="s">
        <v>70</v>
      </c>
      <c r="B17" s="21" t="s">
        <v>689</v>
      </c>
      <c r="D17" s="26" t="s">
        <v>42</v>
      </c>
      <c r="E17" s="26" t="s">
        <v>42</v>
      </c>
      <c r="F17" s="26" t="s">
        <v>42</v>
      </c>
      <c r="G17" s="60" t="s">
        <v>42</v>
      </c>
      <c r="H17" s="26" t="s">
        <v>42</v>
      </c>
      <c r="I17" s="26" t="s">
        <v>42</v>
      </c>
      <c r="J17" s="26" t="s">
        <v>42</v>
      </c>
      <c r="K17" s="26" t="s">
        <v>42</v>
      </c>
      <c r="L17" s="26" t="s">
        <v>42</v>
      </c>
      <c r="M17" s="60" t="s">
        <v>42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Z17" s="26"/>
      <c r="AA17" s="26"/>
      <c r="AB17" s="26"/>
      <c r="AD17" s="26" t="s">
        <v>42</v>
      </c>
      <c r="AE17" s="26"/>
      <c r="AF17" s="26"/>
      <c r="AG17" s="26"/>
      <c r="AH17" s="26"/>
      <c r="AI17" s="26"/>
    </row>
    <row r="18" spans="1:35" x14ac:dyDescent="0.25">
      <c r="A18" s="75" t="s">
        <v>72</v>
      </c>
      <c r="B18" s="21" t="s">
        <v>73</v>
      </c>
      <c r="E18" s="26" t="s">
        <v>42</v>
      </c>
      <c r="F18" s="26" t="s">
        <v>42</v>
      </c>
      <c r="G18" s="60" t="s">
        <v>42</v>
      </c>
      <c r="H18" s="26" t="s">
        <v>42</v>
      </c>
      <c r="I18" s="26" t="s">
        <v>42</v>
      </c>
      <c r="O18" s="26"/>
      <c r="P18" s="26" t="s">
        <v>42</v>
      </c>
      <c r="Q18" s="26" t="s">
        <v>42</v>
      </c>
      <c r="R18" s="26" t="s">
        <v>42</v>
      </c>
      <c r="S18" s="26" t="s">
        <v>42</v>
      </c>
      <c r="T18" s="26" t="s">
        <v>42</v>
      </c>
      <c r="U18" s="26"/>
      <c r="V18" s="26"/>
      <c r="W18" s="26"/>
      <c r="X18" s="26"/>
      <c r="Z18" s="26"/>
      <c r="AA18" s="26"/>
      <c r="AB18" s="26"/>
      <c r="AD18" s="26"/>
      <c r="AE18" s="26"/>
      <c r="AF18" s="26"/>
      <c r="AG18" s="26"/>
      <c r="AH18" s="26"/>
      <c r="AI18" s="26"/>
    </row>
    <row r="19" spans="1:35" x14ac:dyDescent="0.25">
      <c r="A19" s="20" t="s">
        <v>74</v>
      </c>
      <c r="B19" s="21" t="s">
        <v>75</v>
      </c>
      <c r="J19" s="26" t="s">
        <v>42</v>
      </c>
      <c r="K19" s="26" t="s">
        <v>42</v>
      </c>
      <c r="L19" s="26" t="s">
        <v>42</v>
      </c>
      <c r="M19" s="60" t="s">
        <v>42</v>
      </c>
      <c r="O19" s="26"/>
      <c r="P19" s="26"/>
      <c r="Q19" s="26"/>
      <c r="R19" s="26"/>
      <c r="S19" s="26"/>
      <c r="T19" s="26"/>
      <c r="U19" s="26" t="s">
        <v>42</v>
      </c>
      <c r="V19" s="26" t="s">
        <v>42</v>
      </c>
      <c r="W19" s="26" t="s">
        <v>42</v>
      </c>
      <c r="X19" s="26" t="s">
        <v>42</v>
      </c>
      <c r="Z19" s="26"/>
      <c r="AA19" s="26"/>
      <c r="AB19" s="26"/>
      <c r="AD19" s="26"/>
      <c r="AE19" s="26"/>
      <c r="AF19" s="26"/>
      <c r="AG19" s="26"/>
      <c r="AH19" s="26"/>
      <c r="AI19" s="26"/>
    </row>
    <row r="20" spans="1:35" x14ac:dyDescent="0.25">
      <c r="A20" s="20" t="s">
        <v>76</v>
      </c>
      <c r="B20" s="21" t="s">
        <v>77</v>
      </c>
      <c r="E20" s="26" t="s">
        <v>42</v>
      </c>
      <c r="F20" s="26" t="s">
        <v>42</v>
      </c>
      <c r="G20" s="60" t="s">
        <v>42</v>
      </c>
      <c r="H20" s="26" t="s">
        <v>42</v>
      </c>
      <c r="I20" s="26" t="s">
        <v>42</v>
      </c>
      <c r="J20" s="22" t="s">
        <v>42</v>
      </c>
      <c r="K20" s="22" t="s">
        <v>42</v>
      </c>
      <c r="L20" s="22" t="s">
        <v>42</v>
      </c>
      <c r="M20" s="22" t="s">
        <v>42</v>
      </c>
      <c r="O20" s="26"/>
      <c r="P20" s="26" t="s">
        <v>42</v>
      </c>
      <c r="Q20" s="26" t="s">
        <v>42</v>
      </c>
      <c r="R20" s="26" t="s">
        <v>42</v>
      </c>
      <c r="S20" s="26" t="s">
        <v>42</v>
      </c>
      <c r="T20" s="26" t="s">
        <v>42</v>
      </c>
      <c r="U20" s="22" t="s">
        <v>42</v>
      </c>
      <c r="V20" s="22" t="s">
        <v>42</v>
      </c>
      <c r="W20" s="22" t="s">
        <v>42</v>
      </c>
      <c r="X20" s="22" t="s">
        <v>42</v>
      </c>
      <c r="Z20" s="26"/>
      <c r="AA20" s="26"/>
      <c r="AB20" s="26"/>
      <c r="AD20" s="26"/>
      <c r="AE20" s="26"/>
      <c r="AF20" s="26"/>
      <c r="AG20" s="26"/>
      <c r="AH20" s="26"/>
      <c r="AI20" s="26"/>
    </row>
    <row r="21" spans="1:35" ht="30" x14ac:dyDescent="0.25">
      <c r="A21" s="75" t="s">
        <v>78</v>
      </c>
      <c r="B21" s="70" t="s">
        <v>688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Z21" s="26"/>
      <c r="AA21" s="26"/>
      <c r="AB21" s="26"/>
      <c r="AD21" s="26"/>
      <c r="AE21" s="26"/>
      <c r="AF21" s="26"/>
      <c r="AG21" s="26"/>
      <c r="AH21" s="26"/>
      <c r="AI21" s="26"/>
    </row>
    <row r="22" spans="1:35" x14ac:dyDescent="0.25">
      <c r="A22" s="20" t="s">
        <v>80</v>
      </c>
      <c r="B22" s="21" t="s">
        <v>81</v>
      </c>
      <c r="E22" s="26" t="s">
        <v>82</v>
      </c>
      <c r="F22" s="26" t="s">
        <v>82</v>
      </c>
      <c r="G22" s="60" t="s">
        <v>82</v>
      </c>
      <c r="H22" s="26" t="s">
        <v>82</v>
      </c>
      <c r="I22" s="26" t="s">
        <v>82</v>
      </c>
      <c r="O22" s="26"/>
      <c r="P22" s="26" t="s">
        <v>82</v>
      </c>
      <c r="Q22" s="26" t="s">
        <v>82</v>
      </c>
      <c r="R22" s="26" t="s">
        <v>82</v>
      </c>
      <c r="S22" s="26" t="s">
        <v>82</v>
      </c>
      <c r="T22" s="26" t="s">
        <v>82</v>
      </c>
      <c r="U22" s="26"/>
      <c r="V22" s="26"/>
      <c r="W22" s="26"/>
      <c r="X22" s="26"/>
      <c r="Z22" s="26"/>
      <c r="AA22" s="26"/>
      <c r="AB22" s="26"/>
      <c r="AD22" s="26"/>
      <c r="AE22" s="26"/>
      <c r="AF22" s="26"/>
      <c r="AG22" s="26"/>
      <c r="AH22" s="26"/>
      <c r="AI22" s="26"/>
    </row>
    <row r="23" spans="1:35" x14ac:dyDescent="0.25">
      <c r="A23" s="20" t="s">
        <v>83</v>
      </c>
      <c r="B23" s="27" t="s">
        <v>687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Z23" s="26"/>
      <c r="AA23" s="26"/>
      <c r="AB23" s="26"/>
      <c r="AD23" s="26" t="s">
        <v>42</v>
      </c>
      <c r="AE23" s="26" t="s">
        <v>42</v>
      </c>
      <c r="AF23" s="26"/>
      <c r="AG23" s="26"/>
      <c r="AH23" s="26"/>
      <c r="AI23" s="26"/>
    </row>
    <row r="24" spans="1:35" x14ac:dyDescent="0.25">
      <c r="A24" s="20" t="s">
        <v>85</v>
      </c>
      <c r="B24" s="21" t="s">
        <v>686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Z24" s="26" t="s">
        <v>42</v>
      </c>
      <c r="AA24" s="26" t="s">
        <v>42</v>
      </c>
      <c r="AB24" s="26" t="s">
        <v>42</v>
      </c>
      <c r="AD24" s="26"/>
      <c r="AE24" s="26"/>
      <c r="AF24" s="26" t="s">
        <v>42</v>
      </c>
      <c r="AG24" s="26"/>
      <c r="AH24" s="26"/>
      <c r="AI24" s="26"/>
    </row>
    <row r="25" spans="1:35" x14ac:dyDescent="0.25">
      <c r="A25" s="20" t="s">
        <v>87</v>
      </c>
      <c r="B25" s="21" t="s">
        <v>685</v>
      </c>
      <c r="C25" t="s">
        <v>682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Z25" s="26" t="s">
        <v>42</v>
      </c>
      <c r="AA25" s="26" t="s">
        <v>42</v>
      </c>
      <c r="AB25" s="26" t="s">
        <v>42</v>
      </c>
      <c r="AD25" s="26"/>
      <c r="AE25" s="26"/>
      <c r="AF25" s="26" t="s">
        <v>42</v>
      </c>
      <c r="AG25" s="26"/>
      <c r="AH25" s="26"/>
      <c r="AI25" s="26"/>
    </row>
    <row r="26" spans="1:35" x14ac:dyDescent="0.25">
      <c r="A26" s="20" t="s">
        <v>684</v>
      </c>
      <c r="B26" s="21" t="s">
        <v>683</v>
      </c>
      <c r="C26" t="s">
        <v>682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Z26" s="26" t="s">
        <v>42</v>
      </c>
      <c r="AA26" s="26" t="s">
        <v>42</v>
      </c>
      <c r="AB26" s="26" t="s">
        <v>42</v>
      </c>
      <c r="AD26" s="26"/>
      <c r="AE26" s="26"/>
      <c r="AF26" s="26" t="s">
        <v>42</v>
      </c>
      <c r="AG26" s="26"/>
      <c r="AH26" s="26"/>
      <c r="AI26" s="26"/>
    </row>
    <row r="27" spans="1:35" x14ac:dyDescent="0.25">
      <c r="A27" s="20" t="s">
        <v>681</v>
      </c>
      <c r="B27" s="21" t="s">
        <v>680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Z27" s="26" t="s">
        <v>42</v>
      </c>
      <c r="AA27" s="26" t="s">
        <v>42</v>
      </c>
      <c r="AB27" s="26" t="s">
        <v>42</v>
      </c>
      <c r="AD27" s="26"/>
      <c r="AE27" s="26"/>
      <c r="AF27" s="26" t="s">
        <v>42</v>
      </c>
      <c r="AG27" s="26"/>
      <c r="AH27" s="26"/>
      <c r="AI27" s="26"/>
    </row>
    <row r="28" spans="1:35" x14ac:dyDescent="0.25">
      <c r="A28" s="20" t="s">
        <v>679</v>
      </c>
      <c r="B28" s="21" t="s">
        <v>678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Z28" s="26" t="s">
        <v>42</v>
      </c>
      <c r="AA28" s="26" t="s">
        <v>42</v>
      </c>
      <c r="AB28" s="26" t="s">
        <v>42</v>
      </c>
      <c r="AD28" s="26"/>
      <c r="AE28" s="26"/>
      <c r="AF28" s="26" t="s">
        <v>42</v>
      </c>
      <c r="AG28" s="26"/>
      <c r="AH28" s="26"/>
      <c r="AI28" s="26"/>
    </row>
    <row r="29" spans="1:35" x14ac:dyDescent="0.25">
      <c r="A29" s="20" t="s">
        <v>677</v>
      </c>
      <c r="B29" s="21" t="s">
        <v>676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Z29" s="26" t="s">
        <v>42</v>
      </c>
      <c r="AA29" s="26" t="s">
        <v>42</v>
      </c>
      <c r="AB29" s="26" t="s">
        <v>42</v>
      </c>
      <c r="AD29" s="26"/>
      <c r="AE29" s="26"/>
      <c r="AF29" s="26"/>
      <c r="AG29" s="26"/>
      <c r="AH29" s="26"/>
      <c r="AI29" s="26"/>
    </row>
    <row r="30" spans="1:35" x14ac:dyDescent="0.25">
      <c r="A30" s="20" t="s">
        <v>675</v>
      </c>
      <c r="B30" s="21" t="s">
        <v>674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Z30" s="26" t="s">
        <v>42</v>
      </c>
      <c r="AA30" s="26" t="s">
        <v>42</v>
      </c>
      <c r="AB30" s="26" t="s">
        <v>42</v>
      </c>
      <c r="AD30" s="26"/>
      <c r="AE30" s="26"/>
      <c r="AF30" s="26"/>
      <c r="AG30" s="26"/>
      <c r="AH30" s="26"/>
      <c r="AI30" s="26"/>
    </row>
    <row r="31" spans="1:35" x14ac:dyDescent="0.25">
      <c r="A31" s="20" t="s">
        <v>673</v>
      </c>
      <c r="B31" s="21" t="s">
        <v>672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Z31" s="26" t="s">
        <v>42</v>
      </c>
      <c r="AA31" s="26" t="s">
        <v>42</v>
      </c>
      <c r="AB31" s="26" t="s">
        <v>42</v>
      </c>
      <c r="AD31" s="26"/>
      <c r="AE31" s="26"/>
      <c r="AF31" s="26"/>
      <c r="AG31" s="26"/>
      <c r="AH31" s="26"/>
      <c r="AI31" s="26"/>
    </row>
    <row r="32" spans="1:35" x14ac:dyDescent="0.25">
      <c r="A32" s="20" t="s">
        <v>671</v>
      </c>
      <c r="B32" s="21" t="s">
        <v>670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Z32" s="26" t="s">
        <v>42</v>
      </c>
      <c r="AA32" s="26" t="s">
        <v>42</v>
      </c>
      <c r="AB32" s="26" t="s">
        <v>42</v>
      </c>
      <c r="AD32" s="26"/>
      <c r="AE32" s="26"/>
      <c r="AF32" s="26"/>
      <c r="AG32" s="26"/>
      <c r="AH32" s="26"/>
      <c r="AI32" s="26"/>
    </row>
    <row r="33" spans="1:35" ht="15.75" x14ac:dyDescent="0.25">
      <c r="A33" s="28" t="s">
        <v>669</v>
      </c>
      <c r="B33" s="74" t="s">
        <v>668</v>
      </c>
      <c r="D33" s="26" t="s">
        <v>42</v>
      </c>
      <c r="E33" s="26" t="s">
        <v>42</v>
      </c>
      <c r="F33" s="26" t="s">
        <v>42</v>
      </c>
      <c r="G33" s="60" t="s">
        <v>42</v>
      </c>
      <c r="H33" s="26" t="s">
        <v>42</v>
      </c>
      <c r="I33" s="26" t="s">
        <v>42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Z33" s="26" t="s">
        <v>42</v>
      </c>
      <c r="AA33" s="26" t="s">
        <v>42</v>
      </c>
      <c r="AB33" s="26"/>
      <c r="AD33" s="26"/>
      <c r="AE33" s="26"/>
      <c r="AF33" s="26"/>
      <c r="AG33" s="26"/>
      <c r="AH33" s="26"/>
      <c r="AI33" s="26"/>
    </row>
    <row r="34" spans="1:35" x14ac:dyDescent="0.25">
      <c r="A34" s="28" t="s">
        <v>667</v>
      </c>
      <c r="B34" s="37" t="s">
        <v>666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Z34" s="26"/>
      <c r="AA34" s="26"/>
      <c r="AB34" s="26"/>
      <c r="AD34" s="26" t="s">
        <v>42</v>
      </c>
      <c r="AE34" s="26" t="s">
        <v>42</v>
      </c>
      <c r="AF34" s="26"/>
      <c r="AG34" s="26"/>
      <c r="AH34" s="26"/>
      <c r="AI34" s="26"/>
    </row>
    <row r="35" spans="1:35" x14ac:dyDescent="0.25">
      <c r="A35" s="31" t="s">
        <v>89</v>
      </c>
      <c r="B35" s="37" t="s">
        <v>90</v>
      </c>
      <c r="D35" s="26" t="s">
        <v>82</v>
      </c>
      <c r="E35" s="26" t="s">
        <v>82</v>
      </c>
      <c r="F35" s="26" t="s">
        <v>82</v>
      </c>
      <c r="G35" s="60" t="s">
        <v>82</v>
      </c>
      <c r="H35" s="26" t="s">
        <v>82</v>
      </c>
      <c r="I35" s="26" t="s">
        <v>82</v>
      </c>
      <c r="J35" s="26" t="s">
        <v>82</v>
      </c>
      <c r="K35" s="26" t="s">
        <v>82</v>
      </c>
      <c r="L35" s="26" t="s">
        <v>82</v>
      </c>
      <c r="M35" s="60" t="s">
        <v>82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Z35" s="26" t="s">
        <v>82</v>
      </c>
      <c r="AA35" s="26" t="s">
        <v>82</v>
      </c>
      <c r="AB35" s="26" t="s">
        <v>82</v>
      </c>
      <c r="AD35" s="26"/>
      <c r="AE35" s="26"/>
      <c r="AF35" s="26"/>
      <c r="AG35" s="26"/>
      <c r="AH35" s="26"/>
      <c r="AI35" s="26"/>
    </row>
    <row r="36" spans="1:35" x14ac:dyDescent="0.25">
      <c r="A36" s="18" t="s">
        <v>91</v>
      </c>
      <c r="B36" s="19" t="s">
        <v>665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Z36" s="26"/>
      <c r="AA36" s="26"/>
      <c r="AB36" s="26"/>
      <c r="AD36" s="26"/>
      <c r="AE36" s="26"/>
      <c r="AF36" s="26"/>
      <c r="AG36" s="26"/>
      <c r="AH36" s="26"/>
      <c r="AI36" s="26"/>
    </row>
    <row r="37" spans="1:35" x14ac:dyDescent="0.25">
      <c r="A37" s="20" t="s">
        <v>93</v>
      </c>
      <c r="B37" s="21" t="s">
        <v>664</v>
      </c>
      <c r="D37" s="26" t="s">
        <v>42</v>
      </c>
      <c r="E37" s="26" t="s">
        <v>42</v>
      </c>
      <c r="F37" s="26" t="s">
        <v>42</v>
      </c>
      <c r="G37" s="60" t="s">
        <v>42</v>
      </c>
      <c r="H37" s="26" t="s">
        <v>42</v>
      </c>
      <c r="I37" s="26" t="s">
        <v>42</v>
      </c>
      <c r="O37" s="26" t="s">
        <v>42</v>
      </c>
      <c r="P37" s="26" t="s">
        <v>42</v>
      </c>
      <c r="Q37" s="26" t="s">
        <v>42</v>
      </c>
      <c r="R37" s="26" t="s">
        <v>42</v>
      </c>
      <c r="S37" s="26" t="s">
        <v>42</v>
      </c>
      <c r="T37" s="26" t="s">
        <v>42</v>
      </c>
      <c r="U37" s="26"/>
      <c r="V37" s="26"/>
      <c r="W37" s="26"/>
      <c r="X37" s="26"/>
      <c r="Z37" s="26"/>
      <c r="AA37" s="26"/>
      <c r="AB37" s="26"/>
      <c r="AD37" s="26"/>
      <c r="AE37" s="26"/>
      <c r="AF37" s="26"/>
      <c r="AG37" s="26"/>
      <c r="AH37" s="26"/>
      <c r="AI37" s="26"/>
    </row>
    <row r="38" spans="1:35" x14ac:dyDescent="0.25">
      <c r="A38" s="20" t="s">
        <v>95</v>
      </c>
      <c r="B38" s="21" t="s">
        <v>663</v>
      </c>
      <c r="D38" s="26" t="s">
        <v>42</v>
      </c>
      <c r="E38" s="26" t="s">
        <v>42</v>
      </c>
      <c r="F38" s="26" t="s">
        <v>42</v>
      </c>
      <c r="G38" s="60" t="s">
        <v>42</v>
      </c>
      <c r="H38" s="26" t="s">
        <v>42</v>
      </c>
      <c r="I38" s="26" t="s">
        <v>42</v>
      </c>
      <c r="O38" s="26" t="s">
        <v>42</v>
      </c>
      <c r="P38" s="26" t="s">
        <v>42</v>
      </c>
      <c r="Q38" s="26" t="s">
        <v>42</v>
      </c>
      <c r="R38" s="26" t="s">
        <v>42</v>
      </c>
      <c r="S38" s="26" t="s">
        <v>42</v>
      </c>
      <c r="T38" s="26" t="s">
        <v>42</v>
      </c>
      <c r="U38" s="26"/>
      <c r="V38" s="26"/>
      <c r="W38" s="26"/>
      <c r="X38" s="26"/>
      <c r="Z38" s="26"/>
      <c r="AA38" s="26"/>
      <c r="AB38" s="26"/>
      <c r="AD38" s="26"/>
      <c r="AE38" s="26"/>
      <c r="AF38" s="26"/>
      <c r="AG38" s="26"/>
      <c r="AH38" s="26"/>
      <c r="AI38" s="26"/>
    </row>
    <row r="39" spans="1:35" x14ac:dyDescent="0.25">
      <c r="A39" s="20" t="s">
        <v>97</v>
      </c>
      <c r="B39" s="21" t="s">
        <v>662</v>
      </c>
      <c r="D39" s="26" t="s">
        <v>42</v>
      </c>
      <c r="E39" s="26" t="s">
        <v>42</v>
      </c>
      <c r="F39" s="26" t="s">
        <v>42</v>
      </c>
      <c r="G39" s="60" t="s">
        <v>42</v>
      </c>
      <c r="H39" s="26" t="s">
        <v>42</v>
      </c>
      <c r="I39" s="26" t="s">
        <v>42</v>
      </c>
      <c r="O39" s="26" t="s">
        <v>42</v>
      </c>
      <c r="P39" s="26" t="s">
        <v>42</v>
      </c>
      <c r="Q39" s="26" t="s">
        <v>42</v>
      </c>
      <c r="R39" s="26" t="s">
        <v>42</v>
      </c>
      <c r="S39" s="26" t="s">
        <v>42</v>
      </c>
      <c r="T39" s="26" t="s">
        <v>42</v>
      </c>
      <c r="U39" s="26"/>
      <c r="V39" s="26"/>
      <c r="W39" s="26"/>
      <c r="X39" s="26"/>
      <c r="Z39" s="26"/>
      <c r="AA39" s="26"/>
      <c r="AB39" s="26"/>
      <c r="AD39" s="26"/>
      <c r="AE39" s="26"/>
      <c r="AF39" s="26"/>
      <c r="AG39" s="26"/>
      <c r="AH39" s="26"/>
      <c r="AI39" s="26"/>
    </row>
    <row r="40" spans="1:35" x14ac:dyDescent="0.25">
      <c r="A40" s="20" t="s">
        <v>100</v>
      </c>
      <c r="B40" s="21" t="s">
        <v>661</v>
      </c>
      <c r="D40" s="26" t="s">
        <v>42</v>
      </c>
      <c r="E40" s="26" t="s">
        <v>42</v>
      </c>
      <c r="F40" s="26" t="s">
        <v>42</v>
      </c>
      <c r="G40" s="60" t="s">
        <v>42</v>
      </c>
      <c r="H40" s="26" t="s">
        <v>42</v>
      </c>
      <c r="I40" s="26" t="s">
        <v>42</v>
      </c>
      <c r="O40" s="26" t="s">
        <v>42</v>
      </c>
      <c r="P40" s="26" t="s">
        <v>42</v>
      </c>
      <c r="Q40" s="26" t="s">
        <v>42</v>
      </c>
      <c r="R40" s="26" t="s">
        <v>42</v>
      </c>
      <c r="S40" s="26" t="s">
        <v>42</v>
      </c>
      <c r="T40" s="26" t="s">
        <v>42</v>
      </c>
      <c r="U40" s="26"/>
      <c r="V40" s="26"/>
      <c r="W40" s="26"/>
      <c r="X40" s="26"/>
      <c r="Z40" s="26"/>
      <c r="AA40" s="26"/>
      <c r="AB40" s="26"/>
      <c r="AD40" s="26"/>
      <c r="AE40" s="26"/>
      <c r="AF40" s="26"/>
      <c r="AG40" s="26"/>
      <c r="AH40" s="26"/>
      <c r="AI40" s="26"/>
    </row>
    <row r="41" spans="1:35" x14ac:dyDescent="0.25">
      <c r="A41" s="20" t="s">
        <v>102</v>
      </c>
      <c r="B41" s="21" t="s">
        <v>660</v>
      </c>
      <c r="D41" s="26" t="s">
        <v>42</v>
      </c>
      <c r="E41" s="26" t="s">
        <v>42</v>
      </c>
      <c r="F41" s="26" t="s">
        <v>42</v>
      </c>
      <c r="G41" s="60" t="s">
        <v>42</v>
      </c>
      <c r="H41" s="26" t="s">
        <v>42</v>
      </c>
      <c r="I41" s="26" t="s">
        <v>42</v>
      </c>
      <c r="O41" s="26" t="s">
        <v>42</v>
      </c>
      <c r="P41" s="26" t="s">
        <v>42</v>
      </c>
      <c r="Q41" s="26" t="s">
        <v>42</v>
      </c>
      <c r="R41" s="26" t="s">
        <v>42</v>
      </c>
      <c r="S41" s="26" t="s">
        <v>42</v>
      </c>
      <c r="T41" s="26" t="s">
        <v>42</v>
      </c>
      <c r="U41" s="26"/>
      <c r="V41" s="26"/>
      <c r="W41" s="26"/>
      <c r="X41" s="26"/>
      <c r="Z41" s="26"/>
      <c r="AA41" s="26"/>
      <c r="AB41" s="26"/>
      <c r="AD41" s="26"/>
      <c r="AE41" s="26"/>
      <c r="AF41" s="26"/>
      <c r="AG41" s="26"/>
      <c r="AH41" s="26"/>
      <c r="AI41" s="26"/>
    </row>
    <row r="42" spans="1:35" x14ac:dyDescent="0.25">
      <c r="A42" s="20" t="s">
        <v>104</v>
      </c>
      <c r="B42" s="21" t="s">
        <v>659</v>
      </c>
      <c r="D42" s="26" t="s">
        <v>42</v>
      </c>
      <c r="E42" s="26" t="s">
        <v>42</v>
      </c>
      <c r="F42" s="26" t="s">
        <v>42</v>
      </c>
      <c r="G42" s="60" t="s">
        <v>42</v>
      </c>
      <c r="H42" s="26" t="s">
        <v>42</v>
      </c>
      <c r="I42" s="26" t="s">
        <v>42</v>
      </c>
      <c r="O42" s="26" t="s">
        <v>42</v>
      </c>
      <c r="P42" s="26" t="s">
        <v>42</v>
      </c>
      <c r="Q42" s="26" t="s">
        <v>42</v>
      </c>
      <c r="R42" s="26" t="s">
        <v>42</v>
      </c>
      <c r="S42" s="26" t="s">
        <v>42</v>
      </c>
      <c r="T42" s="26" t="s">
        <v>42</v>
      </c>
      <c r="U42" s="26"/>
      <c r="V42" s="26"/>
      <c r="W42" s="26"/>
      <c r="X42" s="26"/>
      <c r="Z42" s="26"/>
      <c r="AA42" s="26"/>
      <c r="AB42" s="26"/>
      <c r="AD42" s="26"/>
      <c r="AE42" s="26"/>
      <c r="AF42" s="26"/>
      <c r="AG42" s="26"/>
      <c r="AH42" s="26"/>
      <c r="AI42" s="26"/>
    </row>
    <row r="43" spans="1:35" x14ac:dyDescent="0.25">
      <c r="A43" s="20" t="s">
        <v>107</v>
      </c>
      <c r="B43" s="21" t="s">
        <v>658</v>
      </c>
      <c r="C43" t="s">
        <v>99</v>
      </c>
      <c r="D43" s="26" t="s">
        <v>42</v>
      </c>
      <c r="E43" s="26" t="s">
        <v>42</v>
      </c>
      <c r="F43" s="26" t="s">
        <v>42</v>
      </c>
      <c r="G43" s="60" t="s">
        <v>42</v>
      </c>
      <c r="H43" s="26" t="s">
        <v>42</v>
      </c>
      <c r="I43" s="26" t="s">
        <v>42</v>
      </c>
      <c r="O43" s="26" t="s">
        <v>42</v>
      </c>
      <c r="P43" s="26" t="s">
        <v>42</v>
      </c>
      <c r="Q43" s="26" t="s">
        <v>42</v>
      </c>
      <c r="R43" s="26" t="s">
        <v>42</v>
      </c>
      <c r="S43" s="26" t="s">
        <v>42</v>
      </c>
      <c r="T43" s="26" t="s">
        <v>42</v>
      </c>
      <c r="U43" s="26"/>
      <c r="V43" s="26"/>
      <c r="W43" s="26"/>
      <c r="X43" s="26"/>
      <c r="Z43" s="26"/>
      <c r="AA43" s="26"/>
      <c r="AB43" s="26"/>
      <c r="AD43" s="26"/>
      <c r="AE43" s="26"/>
      <c r="AF43" s="26"/>
      <c r="AG43" s="26"/>
      <c r="AH43" s="26"/>
      <c r="AI43" s="26"/>
    </row>
    <row r="44" spans="1:35" x14ac:dyDescent="0.25">
      <c r="A44" s="71" t="s">
        <v>657</v>
      </c>
      <c r="B44" s="70" t="s">
        <v>655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Z44" s="26"/>
      <c r="AA44" s="26"/>
      <c r="AB44" s="26"/>
      <c r="AD44" s="26"/>
      <c r="AE44" s="26"/>
      <c r="AF44" s="26"/>
      <c r="AG44" s="26"/>
      <c r="AH44" s="26"/>
      <c r="AI44" s="26"/>
    </row>
    <row r="45" spans="1:35" ht="30" x14ac:dyDescent="0.25">
      <c r="A45" s="20" t="s">
        <v>109</v>
      </c>
      <c r="B45" s="21" t="s">
        <v>656</v>
      </c>
      <c r="D45" s="26" t="s">
        <v>42</v>
      </c>
      <c r="E45" s="26" t="s">
        <v>42</v>
      </c>
      <c r="F45" s="26" t="s">
        <v>42</v>
      </c>
      <c r="G45" s="60" t="s">
        <v>42</v>
      </c>
      <c r="H45" s="26" t="s">
        <v>42</v>
      </c>
      <c r="I45" s="26" t="s">
        <v>42</v>
      </c>
      <c r="O45" s="26" t="s">
        <v>42</v>
      </c>
      <c r="P45" s="26" t="s">
        <v>42</v>
      </c>
      <c r="Q45" s="26" t="s">
        <v>42</v>
      </c>
      <c r="R45" s="26" t="s">
        <v>42</v>
      </c>
      <c r="S45" s="26" t="s">
        <v>42</v>
      </c>
      <c r="T45" s="26" t="s">
        <v>42</v>
      </c>
      <c r="U45" s="26"/>
      <c r="V45" s="26"/>
      <c r="W45" s="26"/>
      <c r="X45" s="26"/>
      <c r="Z45" s="26"/>
      <c r="AA45" s="26"/>
      <c r="AB45" s="26"/>
      <c r="AD45" s="26"/>
      <c r="AE45" s="26"/>
      <c r="AF45" s="26"/>
      <c r="AG45" s="26"/>
      <c r="AH45" s="26"/>
      <c r="AI45" s="26"/>
    </row>
    <row r="46" spans="1:35" x14ac:dyDescent="0.25">
      <c r="A46" s="20" t="s">
        <v>111</v>
      </c>
      <c r="B46" s="21" t="s">
        <v>655</v>
      </c>
      <c r="D46" s="26" t="s">
        <v>42</v>
      </c>
      <c r="E46" s="26" t="s">
        <v>42</v>
      </c>
      <c r="F46" s="26" t="s">
        <v>42</v>
      </c>
      <c r="G46" s="60" t="s">
        <v>42</v>
      </c>
      <c r="H46" s="26" t="s">
        <v>42</v>
      </c>
      <c r="I46" s="26" t="s">
        <v>42</v>
      </c>
      <c r="O46" s="26" t="s">
        <v>42</v>
      </c>
      <c r="P46" s="26" t="s">
        <v>42</v>
      </c>
      <c r="Q46" s="26" t="s">
        <v>42</v>
      </c>
      <c r="R46" s="26" t="s">
        <v>42</v>
      </c>
      <c r="S46" s="26" t="s">
        <v>42</v>
      </c>
      <c r="T46" s="26" t="s">
        <v>42</v>
      </c>
      <c r="U46" s="26"/>
      <c r="V46" s="26"/>
      <c r="W46" s="26"/>
      <c r="X46" s="26"/>
      <c r="Z46" s="26"/>
      <c r="AA46" s="26"/>
      <c r="AB46" s="26"/>
      <c r="AD46" s="26"/>
      <c r="AE46" s="26"/>
      <c r="AF46" s="26"/>
      <c r="AG46" s="26"/>
      <c r="AH46" s="26"/>
      <c r="AI46" s="26"/>
    </row>
    <row r="47" spans="1:35" ht="30" x14ac:dyDescent="0.25">
      <c r="A47" s="20" t="s">
        <v>654</v>
      </c>
      <c r="B47" s="21" t="s">
        <v>653</v>
      </c>
      <c r="C47" t="s">
        <v>652</v>
      </c>
      <c r="D47" s="26" t="s">
        <v>82</v>
      </c>
      <c r="E47" s="26" t="s">
        <v>82</v>
      </c>
      <c r="F47" s="26" t="s">
        <v>82</v>
      </c>
      <c r="G47" s="60" t="s">
        <v>82</v>
      </c>
      <c r="H47" s="26" t="s">
        <v>82</v>
      </c>
      <c r="I47" s="26" t="s">
        <v>82</v>
      </c>
      <c r="O47" s="26" t="s">
        <v>82</v>
      </c>
      <c r="P47" s="26" t="s">
        <v>82</v>
      </c>
      <c r="Q47" s="26" t="s">
        <v>82</v>
      </c>
      <c r="R47" s="26" t="s">
        <v>82</v>
      </c>
      <c r="S47" s="26" t="s">
        <v>82</v>
      </c>
      <c r="T47" s="26" t="s">
        <v>82</v>
      </c>
      <c r="U47" s="26"/>
      <c r="V47" s="26"/>
      <c r="W47" s="26"/>
      <c r="X47" s="26"/>
      <c r="Z47" s="26"/>
      <c r="AA47" s="26"/>
      <c r="AB47" s="26"/>
      <c r="AD47" s="26"/>
      <c r="AE47" s="26"/>
      <c r="AF47" s="26"/>
      <c r="AG47" s="26"/>
      <c r="AH47" s="26"/>
      <c r="AI47" s="26"/>
    </row>
    <row r="48" spans="1:35" x14ac:dyDescent="0.25">
      <c r="A48" s="18" t="s">
        <v>136</v>
      </c>
      <c r="B48" s="19" t="s">
        <v>651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Z48" s="26"/>
      <c r="AA48" s="26"/>
      <c r="AB48" s="26"/>
      <c r="AD48" s="26"/>
      <c r="AE48" s="26"/>
      <c r="AF48" s="26"/>
      <c r="AG48" s="26"/>
      <c r="AH48" s="26"/>
      <c r="AI48" s="26"/>
    </row>
    <row r="49" spans="1:35" x14ac:dyDescent="0.25">
      <c r="A49" s="20" t="s">
        <v>138</v>
      </c>
      <c r="B49" s="21" t="s">
        <v>650</v>
      </c>
      <c r="D49" s="26" t="s">
        <v>42</v>
      </c>
      <c r="E49" s="26" t="s">
        <v>42</v>
      </c>
      <c r="F49" s="26" t="s">
        <v>42</v>
      </c>
      <c r="J49" s="26" t="s">
        <v>42</v>
      </c>
      <c r="O49" s="26" t="s">
        <v>42</v>
      </c>
      <c r="P49" s="26" t="s">
        <v>42</v>
      </c>
      <c r="Q49" s="26" t="s">
        <v>42</v>
      </c>
      <c r="R49" s="26"/>
      <c r="S49" s="26"/>
      <c r="T49" s="26"/>
      <c r="U49" s="26" t="s">
        <v>42</v>
      </c>
      <c r="V49" s="26"/>
      <c r="W49" s="26"/>
      <c r="X49" s="26"/>
      <c r="Z49" s="26"/>
      <c r="AA49" s="26"/>
      <c r="AB49" s="26"/>
      <c r="AD49" s="26"/>
      <c r="AE49" s="26"/>
      <c r="AF49" s="26"/>
      <c r="AG49" s="26"/>
      <c r="AH49" s="26"/>
      <c r="AI49" s="26"/>
    </row>
    <row r="50" spans="1:35" x14ac:dyDescent="0.25">
      <c r="A50" s="20" t="s">
        <v>140</v>
      </c>
      <c r="B50" s="21" t="s">
        <v>649</v>
      </c>
      <c r="D50" s="26" t="s">
        <v>42</v>
      </c>
      <c r="E50" s="26" t="s">
        <v>42</v>
      </c>
      <c r="F50" s="26" t="s">
        <v>42</v>
      </c>
      <c r="J50" s="26" t="s">
        <v>42</v>
      </c>
      <c r="O50" s="26" t="s">
        <v>42</v>
      </c>
      <c r="P50" s="26" t="s">
        <v>42</v>
      </c>
      <c r="Q50" s="26" t="s">
        <v>42</v>
      </c>
      <c r="R50" s="26"/>
      <c r="S50" s="26"/>
      <c r="T50" s="26"/>
      <c r="U50" s="26" t="s">
        <v>42</v>
      </c>
      <c r="V50" s="26"/>
      <c r="W50" s="26"/>
      <c r="X50" s="26"/>
      <c r="Z50" s="26"/>
      <c r="AA50" s="26"/>
      <c r="AB50" s="26"/>
      <c r="AD50" s="26"/>
      <c r="AE50" s="26"/>
      <c r="AF50" s="26"/>
      <c r="AG50" s="26"/>
      <c r="AH50" s="26"/>
      <c r="AI50" s="26"/>
    </row>
    <row r="51" spans="1:35" ht="45" x14ac:dyDescent="0.25">
      <c r="A51" s="20" t="s">
        <v>148</v>
      </c>
      <c r="B51" s="21" t="s">
        <v>648</v>
      </c>
      <c r="D51" s="26" t="s">
        <v>42</v>
      </c>
      <c r="E51" s="26" t="s">
        <v>42</v>
      </c>
      <c r="F51" s="26" t="s">
        <v>42</v>
      </c>
      <c r="J51" s="26" t="s">
        <v>42</v>
      </c>
      <c r="O51" s="26" t="s">
        <v>42</v>
      </c>
      <c r="P51" s="26" t="s">
        <v>42</v>
      </c>
      <c r="Q51" s="26" t="s">
        <v>42</v>
      </c>
      <c r="R51" s="26"/>
      <c r="S51" s="26"/>
      <c r="T51" s="26"/>
      <c r="U51" s="26" t="s">
        <v>42</v>
      </c>
      <c r="V51" s="26"/>
      <c r="W51" s="26"/>
      <c r="X51" s="26"/>
      <c r="Z51" s="26"/>
      <c r="AA51" s="26"/>
      <c r="AB51" s="26"/>
      <c r="AD51" s="26"/>
      <c r="AE51" s="26"/>
      <c r="AF51" s="26"/>
      <c r="AG51" s="26"/>
      <c r="AH51" s="26"/>
      <c r="AI51" s="26"/>
    </row>
    <row r="52" spans="1:35" ht="30" x14ac:dyDescent="0.25">
      <c r="A52" s="20" t="s">
        <v>154</v>
      </c>
      <c r="B52" s="21" t="s">
        <v>647</v>
      </c>
      <c r="D52" s="26" t="s">
        <v>42</v>
      </c>
      <c r="E52" s="26" t="s">
        <v>42</v>
      </c>
      <c r="F52" s="26" t="s">
        <v>42</v>
      </c>
      <c r="J52" s="26" t="s">
        <v>42</v>
      </c>
      <c r="O52" s="26" t="s">
        <v>42</v>
      </c>
      <c r="P52" s="26" t="s">
        <v>42</v>
      </c>
      <c r="Q52" s="26" t="s">
        <v>42</v>
      </c>
      <c r="R52" s="26"/>
      <c r="S52" s="26"/>
      <c r="T52" s="26"/>
      <c r="U52" s="26" t="s">
        <v>42</v>
      </c>
      <c r="V52" s="26"/>
      <c r="W52" s="26"/>
      <c r="X52" s="26"/>
      <c r="Z52" s="26"/>
      <c r="AA52" s="26"/>
      <c r="AB52" s="26"/>
      <c r="AD52" s="26"/>
      <c r="AE52" s="26"/>
      <c r="AF52" s="26"/>
      <c r="AG52" s="26"/>
      <c r="AH52" s="26"/>
      <c r="AI52" s="26"/>
    </row>
    <row r="53" spans="1:35" x14ac:dyDescent="0.25">
      <c r="A53" s="20" t="s">
        <v>646</v>
      </c>
      <c r="B53" s="27" t="s">
        <v>645</v>
      </c>
      <c r="D53" s="26" t="s">
        <v>42</v>
      </c>
      <c r="E53" s="26" t="s">
        <v>42</v>
      </c>
      <c r="F53" s="26" t="s">
        <v>42</v>
      </c>
      <c r="J53" s="26" t="s">
        <v>42</v>
      </c>
      <c r="O53" s="26" t="s">
        <v>42</v>
      </c>
      <c r="P53" s="26" t="s">
        <v>42</v>
      </c>
      <c r="Q53" s="26" t="s">
        <v>42</v>
      </c>
      <c r="R53" s="26"/>
      <c r="S53" s="26"/>
      <c r="T53" s="26"/>
      <c r="U53" s="26" t="s">
        <v>42</v>
      </c>
      <c r="V53" s="26"/>
      <c r="W53" s="26"/>
      <c r="X53" s="26"/>
      <c r="Z53" s="26"/>
      <c r="AA53" s="26"/>
      <c r="AB53" s="26"/>
      <c r="AD53" s="26"/>
      <c r="AE53" s="26"/>
      <c r="AF53" s="26"/>
      <c r="AG53" s="26"/>
      <c r="AH53" s="26"/>
      <c r="AI53" s="26"/>
    </row>
    <row r="54" spans="1:35" x14ac:dyDescent="0.25">
      <c r="A54" s="20" t="s">
        <v>644</v>
      </c>
      <c r="B54" s="21" t="s">
        <v>643</v>
      </c>
      <c r="D54" s="26" t="s">
        <v>42</v>
      </c>
      <c r="E54" s="26" t="s">
        <v>42</v>
      </c>
      <c r="F54" s="26" t="s">
        <v>42</v>
      </c>
      <c r="J54" s="26" t="s">
        <v>42</v>
      </c>
      <c r="O54" s="26" t="s">
        <v>42</v>
      </c>
      <c r="P54" s="26" t="s">
        <v>42</v>
      </c>
      <c r="Q54" s="26" t="s">
        <v>42</v>
      </c>
      <c r="R54" s="26"/>
      <c r="S54" s="26"/>
      <c r="T54" s="26"/>
      <c r="U54" s="26" t="s">
        <v>42</v>
      </c>
      <c r="V54" s="26"/>
      <c r="W54" s="26"/>
      <c r="X54" s="26"/>
      <c r="Z54" s="26"/>
      <c r="AA54" s="26"/>
      <c r="AB54" s="26"/>
      <c r="AD54" s="26"/>
      <c r="AE54" s="26"/>
      <c r="AF54" s="26"/>
      <c r="AG54" s="26"/>
      <c r="AH54" s="26"/>
      <c r="AI54" s="26"/>
    </row>
    <row r="55" spans="1:35" ht="45" x14ac:dyDescent="0.25">
      <c r="A55" s="73" t="s">
        <v>642</v>
      </c>
      <c r="B55" s="72" t="s">
        <v>626</v>
      </c>
      <c r="C55" s="45" t="s">
        <v>641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Z55" s="26"/>
      <c r="AA55" s="26"/>
      <c r="AB55" s="26"/>
      <c r="AD55" s="26"/>
      <c r="AE55" s="26"/>
      <c r="AF55" s="26"/>
      <c r="AG55" s="26"/>
      <c r="AH55" s="26"/>
      <c r="AI55" s="26"/>
    </row>
    <row r="56" spans="1:35" x14ac:dyDescent="0.25">
      <c r="A56" s="20" t="s">
        <v>640</v>
      </c>
      <c r="B56" s="21" t="s">
        <v>639</v>
      </c>
      <c r="D56" s="26" t="s">
        <v>42</v>
      </c>
      <c r="E56" s="26" t="s">
        <v>42</v>
      </c>
      <c r="F56" s="26" t="s">
        <v>42</v>
      </c>
      <c r="J56" s="26" t="s">
        <v>42</v>
      </c>
      <c r="O56" s="26"/>
      <c r="P56" s="26"/>
      <c r="Q56" s="26" t="s">
        <v>42</v>
      </c>
      <c r="R56" s="26"/>
      <c r="S56" s="26"/>
      <c r="T56" s="26"/>
      <c r="U56" s="26" t="s">
        <v>42</v>
      </c>
      <c r="V56" s="26"/>
      <c r="W56" s="26"/>
      <c r="X56" s="26"/>
      <c r="Z56" s="26"/>
      <c r="AA56" s="26"/>
      <c r="AB56" s="26"/>
      <c r="AD56" s="26"/>
      <c r="AE56" s="26"/>
      <c r="AF56" s="26"/>
      <c r="AG56" s="26"/>
      <c r="AH56" s="26"/>
      <c r="AI56" s="26"/>
    </row>
    <row r="57" spans="1:35" ht="30" x14ac:dyDescent="0.25">
      <c r="A57" s="20" t="s">
        <v>638</v>
      </c>
      <c r="B57" s="21" t="s">
        <v>637</v>
      </c>
      <c r="D57" s="26" t="s">
        <v>42</v>
      </c>
      <c r="E57" s="26" t="s">
        <v>42</v>
      </c>
      <c r="F57" s="26" t="s">
        <v>42</v>
      </c>
      <c r="J57" s="26" t="s">
        <v>42</v>
      </c>
      <c r="O57" s="26" t="s">
        <v>42</v>
      </c>
      <c r="P57" s="26" t="s">
        <v>42</v>
      </c>
      <c r="Q57" s="26" t="s">
        <v>42</v>
      </c>
      <c r="R57" s="26"/>
      <c r="S57" s="26"/>
      <c r="T57" s="26"/>
      <c r="U57" s="26" t="s">
        <v>42</v>
      </c>
      <c r="V57" s="26"/>
      <c r="W57" s="26"/>
      <c r="X57" s="26"/>
      <c r="Z57" s="26"/>
      <c r="AA57" s="26"/>
      <c r="AB57" s="26"/>
      <c r="AD57" s="26"/>
      <c r="AE57" s="26"/>
      <c r="AF57" s="26"/>
      <c r="AG57" s="26"/>
      <c r="AH57" s="26"/>
      <c r="AI57" s="26"/>
    </row>
    <row r="58" spans="1:35" x14ac:dyDescent="0.25">
      <c r="A58" s="18" t="s">
        <v>636</v>
      </c>
      <c r="B58" s="19" t="s">
        <v>635</v>
      </c>
      <c r="C58" t="s">
        <v>634</v>
      </c>
      <c r="O58" s="26"/>
      <c r="P58" s="26"/>
      <c r="Q58" s="26"/>
      <c r="R58" s="26"/>
      <c r="S58" s="26"/>
      <c r="T58" s="26"/>
      <c r="U58" s="26"/>
      <c r="V58" s="26"/>
      <c r="W58" s="26"/>
      <c r="X58" s="26"/>
      <c r="Z58" s="26"/>
      <c r="AA58" s="26"/>
      <c r="AB58" s="26"/>
      <c r="AD58" s="26"/>
      <c r="AE58" s="26"/>
      <c r="AF58" s="26"/>
      <c r="AG58" s="26"/>
      <c r="AH58" s="26"/>
      <c r="AI58" s="26"/>
    </row>
    <row r="59" spans="1:35" x14ac:dyDescent="0.25">
      <c r="A59" s="20" t="s">
        <v>633</v>
      </c>
      <c r="B59" s="21" t="s">
        <v>632</v>
      </c>
      <c r="D59" s="26" t="s">
        <v>82</v>
      </c>
      <c r="E59" s="26" t="s">
        <v>82</v>
      </c>
      <c r="F59" s="26" t="s">
        <v>82</v>
      </c>
      <c r="G59" s="60" t="s">
        <v>82</v>
      </c>
      <c r="I59" s="26" t="s">
        <v>82</v>
      </c>
      <c r="J59" s="26" t="s">
        <v>82</v>
      </c>
      <c r="K59" s="26" t="s">
        <v>82</v>
      </c>
      <c r="M59" s="60" t="s">
        <v>82</v>
      </c>
      <c r="O59" s="26" t="s">
        <v>82</v>
      </c>
      <c r="P59" s="26" t="s">
        <v>82</v>
      </c>
      <c r="Q59" s="26" t="s">
        <v>82</v>
      </c>
      <c r="R59" s="26" t="s">
        <v>82</v>
      </c>
      <c r="S59" s="26"/>
      <c r="T59" s="26" t="s">
        <v>82</v>
      </c>
      <c r="U59" s="26" t="s">
        <v>82</v>
      </c>
      <c r="V59" s="26" t="s">
        <v>82</v>
      </c>
      <c r="W59" s="26"/>
      <c r="X59" s="26" t="s">
        <v>82</v>
      </c>
      <c r="Z59" s="26"/>
      <c r="AA59" s="26"/>
      <c r="AB59" s="26"/>
      <c r="AD59" s="26"/>
      <c r="AE59" s="26"/>
      <c r="AF59" s="26"/>
      <c r="AG59" s="26"/>
      <c r="AH59" s="26"/>
      <c r="AI59" s="26"/>
    </row>
    <row r="60" spans="1:35" x14ac:dyDescent="0.25">
      <c r="A60" s="20" t="s">
        <v>631</v>
      </c>
      <c r="B60" s="21" t="s">
        <v>630</v>
      </c>
      <c r="D60" s="26" t="s">
        <v>82</v>
      </c>
      <c r="E60" s="26" t="s">
        <v>82</v>
      </c>
      <c r="F60" s="26" t="s">
        <v>82</v>
      </c>
      <c r="G60" s="60" t="s">
        <v>82</v>
      </c>
      <c r="I60" s="26" t="s">
        <v>82</v>
      </c>
      <c r="J60" s="26" t="s">
        <v>82</v>
      </c>
      <c r="K60" s="26" t="s">
        <v>82</v>
      </c>
      <c r="M60" s="60" t="s">
        <v>82</v>
      </c>
      <c r="O60" s="26" t="s">
        <v>82</v>
      </c>
      <c r="P60" s="26" t="s">
        <v>82</v>
      </c>
      <c r="Q60" s="26" t="s">
        <v>82</v>
      </c>
      <c r="R60" s="26" t="s">
        <v>82</v>
      </c>
      <c r="S60" s="26"/>
      <c r="T60" s="26" t="s">
        <v>82</v>
      </c>
      <c r="U60" s="26" t="s">
        <v>82</v>
      </c>
      <c r="V60" s="26" t="s">
        <v>82</v>
      </c>
      <c r="W60" s="26"/>
      <c r="X60" s="26" t="s">
        <v>82</v>
      </c>
      <c r="Z60" s="26"/>
      <c r="AA60" s="26"/>
      <c r="AB60" s="26"/>
      <c r="AD60" s="26"/>
      <c r="AE60" s="26"/>
      <c r="AF60" s="26"/>
      <c r="AG60" s="26"/>
      <c r="AH60" s="26"/>
      <c r="AI60" s="26"/>
    </row>
    <row r="61" spans="1:35" ht="30" x14ac:dyDescent="0.25">
      <c r="A61" s="20" t="s">
        <v>629</v>
      </c>
      <c r="B61" s="21" t="s">
        <v>617</v>
      </c>
      <c r="D61" s="26" t="s">
        <v>82</v>
      </c>
      <c r="E61" s="26" t="s">
        <v>82</v>
      </c>
      <c r="F61" s="26" t="s">
        <v>82</v>
      </c>
      <c r="G61" s="60" t="s">
        <v>82</v>
      </c>
      <c r="I61" s="26" t="s">
        <v>82</v>
      </c>
      <c r="J61" s="26" t="s">
        <v>82</v>
      </c>
      <c r="K61" s="26" t="s">
        <v>82</v>
      </c>
      <c r="M61" s="60" t="s">
        <v>82</v>
      </c>
      <c r="O61" s="26" t="s">
        <v>82</v>
      </c>
      <c r="P61" s="26" t="s">
        <v>82</v>
      </c>
      <c r="Q61" s="26" t="s">
        <v>82</v>
      </c>
      <c r="R61" s="26" t="s">
        <v>82</v>
      </c>
      <c r="S61" s="26"/>
      <c r="T61" s="26" t="s">
        <v>82</v>
      </c>
      <c r="U61" s="26" t="s">
        <v>82</v>
      </c>
      <c r="V61" s="26" t="s">
        <v>82</v>
      </c>
      <c r="W61" s="26"/>
      <c r="X61" s="26" t="s">
        <v>82</v>
      </c>
      <c r="Z61" s="26"/>
      <c r="AA61" s="26"/>
      <c r="AB61" s="26"/>
      <c r="AD61" s="26"/>
      <c r="AE61" s="26"/>
      <c r="AF61" s="26"/>
      <c r="AG61" s="26"/>
      <c r="AH61" s="26"/>
      <c r="AI61" s="26"/>
    </row>
    <row r="62" spans="1:35" ht="30" x14ac:dyDescent="0.25">
      <c r="A62" s="20" t="s">
        <v>628</v>
      </c>
      <c r="B62" s="21" t="s">
        <v>627</v>
      </c>
      <c r="D62" s="26" t="s">
        <v>82</v>
      </c>
      <c r="E62" s="26" t="s">
        <v>82</v>
      </c>
      <c r="F62" s="26" t="s">
        <v>82</v>
      </c>
      <c r="G62" s="60" t="s">
        <v>82</v>
      </c>
      <c r="I62" s="26" t="s">
        <v>82</v>
      </c>
      <c r="J62" s="26" t="s">
        <v>82</v>
      </c>
      <c r="K62" s="26" t="s">
        <v>82</v>
      </c>
      <c r="M62" s="60" t="s">
        <v>82</v>
      </c>
      <c r="O62" s="26" t="s">
        <v>82</v>
      </c>
      <c r="P62" s="26" t="s">
        <v>82</v>
      </c>
      <c r="Q62" s="26" t="s">
        <v>82</v>
      </c>
      <c r="R62" s="26" t="s">
        <v>82</v>
      </c>
      <c r="S62" s="26"/>
      <c r="T62" s="26" t="s">
        <v>82</v>
      </c>
      <c r="U62" s="26" t="s">
        <v>82</v>
      </c>
      <c r="V62" s="26" t="s">
        <v>82</v>
      </c>
      <c r="W62" s="26"/>
      <c r="X62" s="26" t="s">
        <v>82</v>
      </c>
      <c r="Z62" s="26"/>
      <c r="AA62" s="26"/>
      <c r="AB62" s="26"/>
      <c r="AD62" s="26"/>
      <c r="AE62" s="26"/>
      <c r="AF62" s="26"/>
      <c r="AG62" s="26"/>
      <c r="AH62" s="26"/>
      <c r="AI62" s="26"/>
    </row>
    <row r="63" spans="1:35" x14ac:dyDescent="0.25">
      <c r="A63" s="31" t="s">
        <v>89</v>
      </c>
      <c r="B63" s="33" t="s">
        <v>626</v>
      </c>
      <c r="D63" s="26" t="s">
        <v>42</v>
      </c>
      <c r="E63" s="26" t="s">
        <v>42</v>
      </c>
      <c r="F63" s="26" t="s">
        <v>42</v>
      </c>
      <c r="G63" s="60" t="s">
        <v>42</v>
      </c>
      <c r="I63" s="26" t="s">
        <v>42</v>
      </c>
      <c r="J63" s="26" t="s">
        <v>42</v>
      </c>
      <c r="K63" s="26" t="s">
        <v>42</v>
      </c>
      <c r="M63" s="60" t="s">
        <v>42</v>
      </c>
      <c r="O63" s="26" t="s">
        <v>42</v>
      </c>
      <c r="P63" s="26" t="s">
        <v>42</v>
      </c>
      <c r="Q63" s="26" t="s">
        <v>42</v>
      </c>
      <c r="R63" s="26" t="s">
        <v>42</v>
      </c>
      <c r="S63" s="26"/>
      <c r="T63" s="26" t="s">
        <v>42</v>
      </c>
      <c r="U63" s="26" t="s">
        <v>42</v>
      </c>
      <c r="V63" s="26" t="s">
        <v>42</v>
      </c>
      <c r="W63" s="26"/>
      <c r="X63" s="26" t="s">
        <v>42</v>
      </c>
      <c r="Z63" s="26"/>
      <c r="AA63" s="26"/>
      <c r="AB63" s="26"/>
      <c r="AD63" s="26"/>
      <c r="AE63" s="26"/>
      <c r="AF63" s="26"/>
      <c r="AG63" s="26"/>
      <c r="AH63" s="26"/>
      <c r="AI63" s="26"/>
    </row>
    <row r="64" spans="1:35" x14ac:dyDescent="0.25">
      <c r="A64" s="18" t="s">
        <v>625</v>
      </c>
      <c r="B64" s="19" t="s">
        <v>624</v>
      </c>
      <c r="C64" t="s">
        <v>623</v>
      </c>
      <c r="O64" s="26"/>
      <c r="P64" s="26"/>
      <c r="Q64" s="26"/>
      <c r="R64" s="26"/>
      <c r="S64" s="26"/>
      <c r="T64" s="26"/>
      <c r="U64" s="26"/>
      <c r="V64" s="26"/>
      <c r="W64" s="26"/>
      <c r="X64" s="26"/>
      <c r="Z64" s="26"/>
      <c r="AA64" s="26"/>
      <c r="AB64" s="26"/>
      <c r="AD64" s="26"/>
      <c r="AE64" s="26"/>
      <c r="AF64" s="26"/>
      <c r="AG64" s="26"/>
      <c r="AH64" s="26"/>
      <c r="AI64" s="26"/>
    </row>
    <row r="65" spans="1:35" x14ac:dyDescent="0.25">
      <c r="A65" s="20" t="s">
        <v>622</v>
      </c>
      <c r="B65" s="21" t="s">
        <v>621</v>
      </c>
      <c r="D65" s="26" t="s">
        <v>82</v>
      </c>
      <c r="E65" s="26" t="s">
        <v>82</v>
      </c>
      <c r="F65" s="26" t="s">
        <v>82</v>
      </c>
      <c r="J65" s="26" t="s">
        <v>82</v>
      </c>
      <c r="O65" s="26" t="s">
        <v>82</v>
      </c>
      <c r="P65" s="26" t="s">
        <v>82</v>
      </c>
      <c r="Q65" s="26" t="s">
        <v>82</v>
      </c>
      <c r="R65" s="26"/>
      <c r="S65" s="26"/>
      <c r="T65" s="26"/>
      <c r="U65" s="26" t="s">
        <v>82</v>
      </c>
      <c r="V65" s="26"/>
      <c r="W65" s="26"/>
      <c r="X65" s="26"/>
      <c r="Z65" s="26"/>
      <c r="AA65" s="26"/>
      <c r="AB65" s="26"/>
      <c r="AD65" s="26"/>
      <c r="AE65" s="26"/>
      <c r="AF65" s="26"/>
      <c r="AG65" s="26"/>
      <c r="AH65" s="26"/>
      <c r="AI65" s="26"/>
    </row>
    <row r="66" spans="1:35" x14ac:dyDescent="0.25">
      <c r="A66" s="20" t="s">
        <v>620</v>
      </c>
      <c r="B66" s="21" t="s">
        <v>619</v>
      </c>
      <c r="D66" s="26" t="s">
        <v>82</v>
      </c>
      <c r="E66" s="26" t="s">
        <v>82</v>
      </c>
      <c r="F66" s="26" t="s">
        <v>82</v>
      </c>
      <c r="J66" s="26" t="s">
        <v>82</v>
      </c>
      <c r="O66" s="26" t="s">
        <v>82</v>
      </c>
      <c r="P66" s="26" t="s">
        <v>82</v>
      </c>
      <c r="Q66" s="26" t="s">
        <v>82</v>
      </c>
      <c r="R66" s="26"/>
      <c r="S66" s="26"/>
      <c r="T66" s="26"/>
      <c r="U66" s="26" t="s">
        <v>82</v>
      </c>
      <c r="V66" s="26"/>
      <c r="W66" s="26"/>
      <c r="X66" s="26"/>
      <c r="Z66" s="26"/>
      <c r="AA66" s="26"/>
      <c r="AB66" s="26"/>
      <c r="AD66" s="26"/>
      <c r="AE66" s="26"/>
      <c r="AF66" s="26"/>
      <c r="AG66" s="26"/>
      <c r="AH66" s="26"/>
      <c r="AI66" s="26"/>
    </row>
    <row r="67" spans="1:35" ht="30" x14ac:dyDescent="0.25">
      <c r="A67" s="20" t="s">
        <v>618</v>
      </c>
      <c r="B67" s="21" t="s">
        <v>617</v>
      </c>
      <c r="D67" s="26" t="s">
        <v>82</v>
      </c>
      <c r="E67" s="26" t="s">
        <v>82</v>
      </c>
      <c r="F67" s="26" t="s">
        <v>82</v>
      </c>
      <c r="J67" s="26" t="s">
        <v>82</v>
      </c>
      <c r="O67" s="26" t="s">
        <v>82</v>
      </c>
      <c r="P67" s="26" t="s">
        <v>82</v>
      </c>
      <c r="Q67" s="26" t="s">
        <v>82</v>
      </c>
      <c r="R67" s="26"/>
      <c r="S67" s="26"/>
      <c r="T67" s="26"/>
      <c r="U67" s="26" t="s">
        <v>82</v>
      </c>
      <c r="V67" s="26"/>
      <c r="W67" s="26"/>
      <c r="X67" s="26"/>
      <c r="Z67" s="26"/>
      <c r="AA67" s="26"/>
      <c r="AB67" s="26"/>
      <c r="AD67" s="26"/>
      <c r="AE67" s="26"/>
      <c r="AF67" s="26"/>
      <c r="AG67" s="26"/>
      <c r="AH67" s="26"/>
      <c r="AI67" s="26"/>
    </row>
    <row r="68" spans="1:35" ht="30" x14ac:dyDescent="0.25">
      <c r="A68" s="20" t="s">
        <v>616</v>
      </c>
      <c r="B68" s="21" t="s">
        <v>615</v>
      </c>
      <c r="D68" s="26" t="s">
        <v>82</v>
      </c>
      <c r="E68" s="26" t="s">
        <v>82</v>
      </c>
      <c r="F68" s="26" t="s">
        <v>82</v>
      </c>
      <c r="J68" s="26" t="s">
        <v>82</v>
      </c>
      <c r="O68" s="26" t="s">
        <v>82</v>
      </c>
      <c r="P68" s="26" t="s">
        <v>82</v>
      </c>
      <c r="Q68" s="26" t="s">
        <v>82</v>
      </c>
      <c r="R68" s="26"/>
      <c r="S68" s="26"/>
      <c r="T68" s="26"/>
      <c r="U68" s="26" t="s">
        <v>82</v>
      </c>
      <c r="V68" s="26"/>
      <c r="W68" s="26"/>
      <c r="X68" s="26"/>
      <c r="Z68" s="26"/>
      <c r="AA68" s="26"/>
      <c r="AB68" s="26"/>
      <c r="AD68" s="26"/>
      <c r="AE68" s="26"/>
      <c r="AF68" s="26"/>
      <c r="AG68" s="26"/>
      <c r="AH68" s="26"/>
      <c r="AI68" s="26"/>
    </row>
    <row r="69" spans="1:35" x14ac:dyDescent="0.25">
      <c r="A69" s="18" t="s">
        <v>614</v>
      </c>
      <c r="B69" s="19" t="s">
        <v>613</v>
      </c>
      <c r="C69" t="s">
        <v>587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Z69" s="26"/>
      <c r="AA69" s="26"/>
      <c r="AB69" s="26"/>
      <c r="AD69" s="26"/>
      <c r="AE69" s="26"/>
      <c r="AF69" s="26"/>
      <c r="AG69" s="26"/>
      <c r="AH69" s="26"/>
      <c r="AI69" s="26"/>
    </row>
    <row r="70" spans="1:35" x14ac:dyDescent="0.25">
      <c r="A70" s="20" t="s">
        <v>612</v>
      </c>
      <c r="B70" s="21" t="s">
        <v>611</v>
      </c>
      <c r="D70" s="26" t="s">
        <v>82</v>
      </c>
      <c r="E70" s="26" t="s">
        <v>82</v>
      </c>
      <c r="F70" s="26" t="s">
        <v>82</v>
      </c>
      <c r="O70" s="26" t="s">
        <v>82</v>
      </c>
      <c r="P70" s="26" t="s">
        <v>82</v>
      </c>
      <c r="Q70" s="26" t="s">
        <v>82</v>
      </c>
      <c r="R70" s="26"/>
      <c r="S70" s="26"/>
      <c r="T70" s="26"/>
      <c r="U70" s="26"/>
      <c r="V70" s="26"/>
      <c r="W70" s="26"/>
      <c r="X70" s="26"/>
      <c r="Z70" s="26"/>
      <c r="AA70" s="26"/>
      <c r="AB70" s="26"/>
      <c r="AD70" s="26"/>
      <c r="AE70" s="26"/>
      <c r="AF70" s="26"/>
      <c r="AG70" s="26"/>
      <c r="AH70" s="26"/>
      <c r="AI70" s="26"/>
    </row>
    <row r="71" spans="1:35" x14ac:dyDescent="0.25">
      <c r="A71" s="20" t="s">
        <v>610</v>
      </c>
      <c r="B71" s="21" t="s">
        <v>609</v>
      </c>
      <c r="D71" s="26" t="s">
        <v>82</v>
      </c>
      <c r="E71" s="26" t="s">
        <v>82</v>
      </c>
      <c r="F71" s="26" t="s">
        <v>82</v>
      </c>
      <c r="O71" s="26" t="s">
        <v>82</v>
      </c>
      <c r="P71" s="26" t="s">
        <v>82</v>
      </c>
      <c r="Q71" s="26" t="s">
        <v>82</v>
      </c>
      <c r="R71" s="26"/>
      <c r="S71" s="26"/>
      <c r="T71" s="26"/>
      <c r="U71" s="26"/>
      <c r="V71" s="26"/>
      <c r="W71" s="26"/>
      <c r="X71" s="26"/>
      <c r="Z71" s="26"/>
      <c r="AA71" s="26"/>
      <c r="AB71" s="26"/>
      <c r="AD71" s="26"/>
      <c r="AE71" s="26"/>
      <c r="AF71" s="26"/>
      <c r="AG71" s="26"/>
      <c r="AH71" s="26"/>
      <c r="AI71" s="26"/>
    </row>
    <row r="72" spans="1:35" ht="30" x14ac:dyDescent="0.25">
      <c r="A72" s="20" t="s">
        <v>608</v>
      </c>
      <c r="B72" s="21" t="s">
        <v>607</v>
      </c>
      <c r="D72" s="26" t="s">
        <v>82</v>
      </c>
      <c r="E72" s="26" t="s">
        <v>82</v>
      </c>
      <c r="F72" s="26" t="s">
        <v>82</v>
      </c>
      <c r="O72" s="26" t="s">
        <v>82</v>
      </c>
      <c r="P72" s="26" t="s">
        <v>82</v>
      </c>
      <c r="Q72" s="26" t="s">
        <v>82</v>
      </c>
      <c r="R72" s="26"/>
      <c r="S72" s="26"/>
      <c r="T72" s="26"/>
      <c r="U72" s="26"/>
      <c r="V72" s="26"/>
      <c r="W72" s="26"/>
      <c r="X72" s="26"/>
      <c r="Z72" s="26"/>
      <c r="AA72" s="26"/>
      <c r="AB72" s="26"/>
      <c r="AD72" s="26"/>
      <c r="AE72" s="26"/>
      <c r="AF72" s="26"/>
      <c r="AG72" s="26"/>
      <c r="AH72" s="26"/>
      <c r="AI72" s="26"/>
    </row>
    <row r="73" spans="1:35" x14ac:dyDescent="0.25">
      <c r="A73" s="20" t="s">
        <v>606</v>
      </c>
      <c r="B73" s="21" t="s">
        <v>605</v>
      </c>
      <c r="D73" s="26" t="s">
        <v>82</v>
      </c>
      <c r="E73" s="26" t="s">
        <v>82</v>
      </c>
      <c r="F73" s="26" t="s">
        <v>82</v>
      </c>
      <c r="O73" s="26" t="s">
        <v>82</v>
      </c>
      <c r="P73" s="26" t="s">
        <v>82</v>
      </c>
      <c r="Q73" s="26" t="s">
        <v>82</v>
      </c>
      <c r="R73" s="26"/>
      <c r="S73" s="26"/>
      <c r="T73" s="26"/>
      <c r="U73" s="26"/>
      <c r="V73" s="26"/>
      <c r="W73" s="26"/>
      <c r="X73" s="26"/>
      <c r="Z73" s="26"/>
      <c r="AA73" s="26"/>
      <c r="AB73" s="26"/>
      <c r="AD73" s="26"/>
      <c r="AE73" s="26"/>
      <c r="AF73" s="26"/>
      <c r="AG73" s="26"/>
      <c r="AH73" s="26"/>
      <c r="AI73" s="26"/>
    </row>
    <row r="74" spans="1:35" ht="30" x14ac:dyDescent="0.25">
      <c r="A74" s="20" t="s">
        <v>604</v>
      </c>
      <c r="B74" s="21" t="s">
        <v>423</v>
      </c>
      <c r="D74" s="26" t="s">
        <v>82</v>
      </c>
      <c r="E74" s="26" t="s">
        <v>82</v>
      </c>
      <c r="F74" s="26" t="s">
        <v>82</v>
      </c>
      <c r="O74" s="26" t="s">
        <v>82</v>
      </c>
      <c r="P74" s="26" t="s">
        <v>82</v>
      </c>
      <c r="Q74" s="26" t="s">
        <v>82</v>
      </c>
      <c r="R74" s="26"/>
      <c r="S74" s="26"/>
      <c r="T74" s="26"/>
      <c r="U74" s="26"/>
      <c r="V74" s="26"/>
      <c r="W74" s="26"/>
      <c r="X74" s="26"/>
      <c r="Z74" s="26"/>
      <c r="AA74" s="26"/>
      <c r="AB74" s="26"/>
      <c r="AD74" s="26"/>
      <c r="AE74" s="26"/>
      <c r="AF74" s="26"/>
      <c r="AG74" s="26"/>
      <c r="AH74" s="26"/>
      <c r="AI74" s="26"/>
    </row>
    <row r="75" spans="1:35" x14ac:dyDescent="0.25">
      <c r="A75" s="18" t="s">
        <v>603</v>
      </c>
      <c r="B75" s="19" t="s">
        <v>602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Z75" s="26"/>
      <c r="AA75" s="26"/>
      <c r="AB75" s="26"/>
      <c r="AD75" s="26"/>
      <c r="AE75" s="26"/>
      <c r="AF75" s="26"/>
      <c r="AG75" s="26"/>
      <c r="AH75" s="26"/>
      <c r="AI75" s="26"/>
    </row>
    <row r="76" spans="1:35" x14ac:dyDescent="0.25">
      <c r="A76" s="20" t="s">
        <v>601</v>
      </c>
      <c r="B76" s="21" t="s">
        <v>600</v>
      </c>
      <c r="D76" s="26" t="s">
        <v>42</v>
      </c>
      <c r="E76" s="26" t="s">
        <v>42</v>
      </c>
      <c r="F76" s="26" t="s">
        <v>42</v>
      </c>
      <c r="G76" s="60" t="s">
        <v>42</v>
      </c>
      <c r="I76" s="26" t="s">
        <v>82</v>
      </c>
      <c r="J76" s="26" t="s">
        <v>42</v>
      </c>
      <c r="K76" s="26" t="s">
        <v>42</v>
      </c>
      <c r="M76" s="60" t="s">
        <v>82</v>
      </c>
      <c r="O76" s="26" t="s">
        <v>42</v>
      </c>
      <c r="P76" s="26" t="s">
        <v>42</v>
      </c>
      <c r="Q76" s="26" t="s">
        <v>42</v>
      </c>
      <c r="R76" s="26" t="s">
        <v>42</v>
      </c>
      <c r="S76" s="26"/>
      <c r="T76" s="26" t="s">
        <v>82</v>
      </c>
      <c r="U76" s="26" t="s">
        <v>42</v>
      </c>
      <c r="V76" s="26" t="s">
        <v>42</v>
      </c>
      <c r="W76" s="26"/>
      <c r="X76" s="26" t="s">
        <v>82</v>
      </c>
      <c r="Z76" s="26"/>
      <c r="AA76" s="26"/>
      <c r="AB76" s="26"/>
      <c r="AD76" s="26"/>
      <c r="AE76" s="26"/>
      <c r="AF76" s="26"/>
      <c r="AG76" s="26"/>
      <c r="AH76" s="26"/>
      <c r="AI76" s="26"/>
    </row>
    <row r="77" spans="1:35" x14ac:dyDescent="0.25">
      <c r="A77" s="20" t="s">
        <v>599</v>
      </c>
      <c r="B77" s="21" t="s">
        <v>598</v>
      </c>
      <c r="D77" s="26" t="s">
        <v>42</v>
      </c>
      <c r="E77" s="26" t="s">
        <v>42</v>
      </c>
      <c r="F77" s="26" t="s">
        <v>42</v>
      </c>
      <c r="G77" s="60" t="s">
        <v>42</v>
      </c>
      <c r="I77" s="26" t="s">
        <v>82</v>
      </c>
      <c r="J77" s="26" t="s">
        <v>42</v>
      </c>
      <c r="K77" s="26" t="s">
        <v>42</v>
      </c>
      <c r="M77" s="60" t="s">
        <v>82</v>
      </c>
      <c r="O77" s="26" t="s">
        <v>42</v>
      </c>
      <c r="P77" s="26" t="s">
        <v>42</v>
      </c>
      <c r="Q77" s="26" t="s">
        <v>42</v>
      </c>
      <c r="R77" s="26" t="s">
        <v>42</v>
      </c>
      <c r="S77" s="26"/>
      <c r="T77" s="26" t="s">
        <v>82</v>
      </c>
      <c r="U77" s="26" t="s">
        <v>42</v>
      </c>
      <c r="V77" s="26" t="s">
        <v>42</v>
      </c>
      <c r="W77" s="26"/>
      <c r="X77" s="26" t="s">
        <v>82</v>
      </c>
      <c r="Z77" s="26"/>
      <c r="AA77" s="26"/>
      <c r="AB77" s="26"/>
      <c r="AD77" s="26"/>
      <c r="AE77" s="26"/>
      <c r="AF77" s="26"/>
      <c r="AG77" s="26"/>
      <c r="AH77" s="26"/>
      <c r="AI77" s="26"/>
    </row>
    <row r="78" spans="1:35" ht="30" x14ac:dyDescent="0.25">
      <c r="A78" s="20" t="s">
        <v>597</v>
      </c>
      <c r="B78" s="21" t="s">
        <v>596</v>
      </c>
      <c r="D78" s="26" t="s">
        <v>42</v>
      </c>
      <c r="E78" s="26" t="s">
        <v>42</v>
      </c>
      <c r="F78" s="26" t="s">
        <v>42</v>
      </c>
      <c r="G78" s="60" t="s">
        <v>42</v>
      </c>
      <c r="I78" s="26" t="s">
        <v>82</v>
      </c>
      <c r="J78" s="26" t="s">
        <v>42</v>
      </c>
      <c r="K78" s="26" t="s">
        <v>42</v>
      </c>
      <c r="M78" s="60" t="s">
        <v>82</v>
      </c>
      <c r="O78" s="26" t="s">
        <v>42</v>
      </c>
      <c r="P78" s="26" t="s">
        <v>42</v>
      </c>
      <c r="Q78" s="26" t="s">
        <v>42</v>
      </c>
      <c r="R78" s="26" t="s">
        <v>42</v>
      </c>
      <c r="S78" s="26"/>
      <c r="T78" s="26" t="s">
        <v>82</v>
      </c>
      <c r="U78" s="26" t="s">
        <v>42</v>
      </c>
      <c r="V78" s="26" t="s">
        <v>42</v>
      </c>
      <c r="W78" s="26"/>
      <c r="X78" s="26" t="s">
        <v>82</v>
      </c>
      <c r="Z78" s="26"/>
      <c r="AA78" s="26"/>
      <c r="AB78" s="26"/>
      <c r="AD78" s="26"/>
      <c r="AE78" s="26"/>
      <c r="AF78" s="26"/>
      <c r="AG78" s="26"/>
      <c r="AH78" s="26"/>
      <c r="AI78" s="26"/>
    </row>
    <row r="79" spans="1:35" x14ac:dyDescent="0.25">
      <c r="A79" s="20" t="s">
        <v>595</v>
      </c>
      <c r="B79" s="21" t="s">
        <v>594</v>
      </c>
      <c r="D79" s="26" t="s">
        <v>42</v>
      </c>
      <c r="E79" s="26" t="s">
        <v>42</v>
      </c>
      <c r="F79" s="26" t="s">
        <v>42</v>
      </c>
      <c r="G79" s="60" t="s">
        <v>42</v>
      </c>
      <c r="I79" s="26" t="s">
        <v>82</v>
      </c>
      <c r="J79" s="26" t="s">
        <v>42</v>
      </c>
      <c r="K79" s="26" t="s">
        <v>42</v>
      </c>
      <c r="M79" s="60" t="s">
        <v>82</v>
      </c>
      <c r="O79" s="26" t="s">
        <v>42</v>
      </c>
      <c r="P79" s="26" t="s">
        <v>42</v>
      </c>
      <c r="Q79" s="26" t="s">
        <v>42</v>
      </c>
      <c r="R79" s="26" t="s">
        <v>42</v>
      </c>
      <c r="S79" s="26"/>
      <c r="T79" s="26" t="s">
        <v>82</v>
      </c>
      <c r="U79" s="26" t="s">
        <v>42</v>
      </c>
      <c r="V79" s="26" t="s">
        <v>42</v>
      </c>
      <c r="W79" s="26"/>
      <c r="X79" s="26" t="s">
        <v>82</v>
      </c>
      <c r="Z79" s="26"/>
      <c r="AA79" s="26"/>
      <c r="AB79" s="26"/>
      <c r="AD79" s="26"/>
      <c r="AE79" s="26"/>
      <c r="AF79" s="26"/>
      <c r="AG79" s="26"/>
      <c r="AH79" s="26"/>
      <c r="AI79" s="26"/>
    </row>
    <row r="80" spans="1:35" x14ac:dyDescent="0.25">
      <c r="A80" s="20" t="s">
        <v>593</v>
      </c>
      <c r="B80" s="21" t="s">
        <v>592</v>
      </c>
      <c r="D80" s="26" t="s">
        <v>42</v>
      </c>
      <c r="E80" s="26" t="s">
        <v>42</v>
      </c>
      <c r="F80" s="26" t="s">
        <v>42</v>
      </c>
      <c r="G80" s="60" t="s">
        <v>42</v>
      </c>
      <c r="I80" s="26" t="s">
        <v>82</v>
      </c>
      <c r="J80" s="26" t="s">
        <v>42</v>
      </c>
      <c r="K80" s="26" t="s">
        <v>42</v>
      </c>
      <c r="M80" s="60" t="s">
        <v>82</v>
      </c>
      <c r="O80" s="26" t="s">
        <v>42</v>
      </c>
      <c r="P80" s="26" t="s">
        <v>42</v>
      </c>
      <c r="Q80" s="26" t="s">
        <v>42</v>
      </c>
      <c r="R80" s="26" t="s">
        <v>42</v>
      </c>
      <c r="S80" s="26"/>
      <c r="T80" s="26" t="s">
        <v>82</v>
      </c>
      <c r="U80" s="26" t="s">
        <v>42</v>
      </c>
      <c r="V80" s="26" t="s">
        <v>42</v>
      </c>
      <c r="W80" s="26"/>
      <c r="X80" s="26" t="s">
        <v>82</v>
      </c>
      <c r="Z80" s="26"/>
      <c r="AA80" s="26"/>
      <c r="AB80" s="26"/>
      <c r="AD80" s="26"/>
      <c r="AE80" s="26"/>
      <c r="AF80" s="26"/>
      <c r="AG80" s="26"/>
      <c r="AH80" s="26"/>
      <c r="AI80" s="26"/>
    </row>
    <row r="81" spans="1:35" ht="30" x14ac:dyDescent="0.25">
      <c r="A81" s="20" t="s">
        <v>591</v>
      </c>
      <c r="B81" s="21" t="s">
        <v>590</v>
      </c>
      <c r="D81" s="26" t="s">
        <v>42</v>
      </c>
      <c r="E81" s="26" t="s">
        <v>42</v>
      </c>
      <c r="F81" s="26" t="s">
        <v>42</v>
      </c>
      <c r="G81" s="60" t="s">
        <v>42</v>
      </c>
      <c r="I81" s="26" t="s">
        <v>82</v>
      </c>
      <c r="J81" s="26" t="s">
        <v>42</v>
      </c>
      <c r="K81" s="26" t="s">
        <v>42</v>
      </c>
      <c r="M81" s="60" t="s">
        <v>82</v>
      </c>
      <c r="O81" s="26" t="s">
        <v>42</v>
      </c>
      <c r="P81" s="26" t="s">
        <v>42</v>
      </c>
      <c r="Q81" s="26" t="s">
        <v>42</v>
      </c>
      <c r="R81" s="26" t="s">
        <v>42</v>
      </c>
      <c r="S81" s="26"/>
      <c r="T81" s="26" t="s">
        <v>82</v>
      </c>
      <c r="U81" s="26" t="s">
        <v>42</v>
      </c>
      <c r="V81" s="26" t="s">
        <v>42</v>
      </c>
      <c r="W81" s="26"/>
      <c r="X81" s="26" t="s">
        <v>82</v>
      </c>
      <c r="Z81" s="26"/>
      <c r="AA81" s="26"/>
      <c r="AB81" s="26"/>
      <c r="AD81" s="26"/>
      <c r="AE81" s="26"/>
      <c r="AF81" s="26"/>
      <c r="AG81" s="26"/>
      <c r="AH81" s="26"/>
      <c r="AI81" s="26"/>
    </row>
    <row r="82" spans="1:35" x14ac:dyDescent="0.25">
      <c r="A82" s="18" t="s">
        <v>589</v>
      </c>
      <c r="B82" s="19" t="s">
        <v>588</v>
      </c>
      <c r="C82" t="s">
        <v>587</v>
      </c>
      <c r="O82" s="26"/>
      <c r="P82" s="26"/>
      <c r="Q82" s="26"/>
      <c r="R82" s="26"/>
      <c r="S82" s="26"/>
      <c r="T82" s="26"/>
      <c r="U82" s="26"/>
      <c r="V82" s="26"/>
      <c r="W82" s="26"/>
      <c r="X82" s="26"/>
      <c r="Z82" s="26"/>
      <c r="AA82" s="26"/>
      <c r="AB82" s="26"/>
      <c r="AD82" s="26"/>
      <c r="AE82" s="26"/>
      <c r="AF82" s="26"/>
      <c r="AG82" s="26"/>
      <c r="AH82" s="26"/>
      <c r="AI82" s="26"/>
    </row>
    <row r="83" spans="1:35" x14ac:dyDescent="0.25">
      <c r="A83" s="20" t="s">
        <v>586</v>
      </c>
      <c r="B83" s="21" t="s">
        <v>585</v>
      </c>
      <c r="D83" s="26" t="s">
        <v>42</v>
      </c>
      <c r="E83" s="26" t="s">
        <v>42</v>
      </c>
      <c r="F83" s="26" t="s">
        <v>42</v>
      </c>
      <c r="G83" s="60" t="s">
        <v>42</v>
      </c>
      <c r="H83" s="26" t="s">
        <v>42</v>
      </c>
      <c r="I83" s="26" t="s">
        <v>42</v>
      </c>
      <c r="J83" s="26" t="s">
        <v>42</v>
      </c>
      <c r="K83" s="26" t="s">
        <v>42</v>
      </c>
      <c r="L83" s="26" t="s">
        <v>42</v>
      </c>
      <c r="M83" s="60" t="s">
        <v>42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  <c r="Z83" s="26" t="s">
        <v>42</v>
      </c>
      <c r="AA83" s="26" t="s">
        <v>42</v>
      </c>
      <c r="AB83" s="26" t="s">
        <v>42</v>
      </c>
      <c r="AD83" s="26"/>
      <c r="AE83" s="26"/>
      <c r="AF83" s="26"/>
      <c r="AG83" s="26"/>
      <c r="AH83" s="26"/>
      <c r="AI83" s="26"/>
    </row>
    <row r="84" spans="1:35" ht="30" x14ac:dyDescent="0.25">
      <c r="A84" s="20" t="s">
        <v>584</v>
      </c>
      <c r="B84" s="21" t="s">
        <v>583</v>
      </c>
      <c r="D84" s="26" t="s">
        <v>42</v>
      </c>
      <c r="E84" s="26" t="s">
        <v>42</v>
      </c>
      <c r="F84" s="26" t="s">
        <v>42</v>
      </c>
      <c r="G84" s="60" t="s">
        <v>42</v>
      </c>
      <c r="H84" s="26" t="s">
        <v>42</v>
      </c>
      <c r="I84" s="26" t="s">
        <v>42</v>
      </c>
      <c r="J84" s="26" t="s">
        <v>42</v>
      </c>
      <c r="K84" s="26" t="s">
        <v>42</v>
      </c>
      <c r="L84" s="26" t="s">
        <v>42</v>
      </c>
      <c r="M84" s="60" t="s">
        <v>42</v>
      </c>
      <c r="O84" s="26"/>
      <c r="P84" s="26"/>
      <c r="Q84" s="26"/>
      <c r="R84" s="26"/>
      <c r="S84" s="26"/>
      <c r="T84" s="26"/>
      <c r="U84" s="26"/>
      <c r="V84" s="26"/>
      <c r="W84" s="26"/>
      <c r="X84" s="26"/>
      <c r="Z84" s="26" t="s">
        <v>42</v>
      </c>
      <c r="AA84" s="26" t="s">
        <v>42</v>
      </c>
      <c r="AB84" s="26" t="s">
        <v>42</v>
      </c>
      <c r="AD84" s="26"/>
      <c r="AE84" s="26"/>
      <c r="AF84" s="26"/>
      <c r="AG84" s="26"/>
      <c r="AH84" s="26"/>
      <c r="AI84" s="26"/>
    </row>
    <row r="85" spans="1:35" x14ac:dyDescent="0.25">
      <c r="A85" s="20" t="s">
        <v>582</v>
      </c>
      <c r="B85" s="21" t="s">
        <v>581</v>
      </c>
      <c r="D85" s="26" t="s">
        <v>42</v>
      </c>
      <c r="E85" s="26" t="s">
        <v>42</v>
      </c>
      <c r="F85" s="26" t="s">
        <v>42</v>
      </c>
      <c r="G85" s="60" t="s">
        <v>42</v>
      </c>
      <c r="H85" s="26" t="s">
        <v>42</v>
      </c>
      <c r="I85" s="26" t="s">
        <v>42</v>
      </c>
      <c r="J85" s="26" t="s">
        <v>42</v>
      </c>
      <c r="K85" s="26" t="s">
        <v>42</v>
      </c>
      <c r="L85" s="26" t="s">
        <v>42</v>
      </c>
      <c r="M85" s="60" t="s">
        <v>42</v>
      </c>
      <c r="O85" s="26"/>
      <c r="P85" s="26"/>
      <c r="Q85" s="26"/>
      <c r="R85" s="26"/>
      <c r="S85" s="26"/>
      <c r="T85" s="26"/>
      <c r="U85" s="26"/>
      <c r="V85" s="26"/>
      <c r="W85" s="26"/>
      <c r="X85" s="26"/>
      <c r="Z85" s="26" t="s">
        <v>42</v>
      </c>
      <c r="AA85" s="26" t="s">
        <v>42</v>
      </c>
      <c r="AB85" s="26" t="s">
        <v>42</v>
      </c>
      <c r="AD85" s="26"/>
      <c r="AE85" s="26"/>
      <c r="AF85" s="26"/>
      <c r="AG85" s="26"/>
      <c r="AH85" s="26"/>
      <c r="AI85" s="26"/>
    </row>
    <row r="86" spans="1:35" x14ac:dyDescent="0.25">
      <c r="A86" s="20" t="s">
        <v>580</v>
      </c>
      <c r="B86" s="21" t="s">
        <v>579</v>
      </c>
      <c r="D86" s="26" t="s">
        <v>42</v>
      </c>
      <c r="E86" s="26" t="s">
        <v>42</v>
      </c>
      <c r="F86" s="26" t="s">
        <v>42</v>
      </c>
      <c r="G86" s="60" t="s">
        <v>42</v>
      </c>
      <c r="H86" s="26" t="s">
        <v>42</v>
      </c>
      <c r="I86" s="26" t="s">
        <v>42</v>
      </c>
      <c r="J86" s="26" t="s">
        <v>42</v>
      </c>
      <c r="K86" s="26" t="s">
        <v>42</v>
      </c>
      <c r="L86" s="26" t="s">
        <v>42</v>
      </c>
      <c r="M86" s="60" t="s">
        <v>42</v>
      </c>
      <c r="O86" s="26"/>
      <c r="P86" s="26"/>
      <c r="Q86" s="26"/>
      <c r="R86" s="26"/>
      <c r="S86" s="26"/>
      <c r="T86" s="26"/>
      <c r="U86" s="26"/>
      <c r="V86" s="26"/>
      <c r="W86" s="26"/>
      <c r="X86" s="26"/>
      <c r="Z86" s="26" t="s">
        <v>42</v>
      </c>
      <c r="AA86" s="26" t="s">
        <v>42</v>
      </c>
      <c r="AB86" s="26" t="s">
        <v>42</v>
      </c>
      <c r="AD86" s="26"/>
      <c r="AE86" s="26"/>
      <c r="AF86" s="26"/>
      <c r="AG86" s="26"/>
      <c r="AH86" s="26"/>
      <c r="AI86" s="26"/>
    </row>
    <row r="87" spans="1:35" ht="30" x14ac:dyDescent="0.25">
      <c r="A87" s="20" t="s">
        <v>578</v>
      </c>
      <c r="B87" s="21" t="s">
        <v>577</v>
      </c>
      <c r="D87" s="26" t="s">
        <v>42</v>
      </c>
      <c r="E87" s="26" t="s">
        <v>42</v>
      </c>
      <c r="F87" s="26" t="s">
        <v>42</v>
      </c>
      <c r="G87" s="60" t="s">
        <v>42</v>
      </c>
      <c r="H87" s="26" t="s">
        <v>42</v>
      </c>
      <c r="I87" s="26" t="s">
        <v>42</v>
      </c>
      <c r="J87" s="26" t="s">
        <v>42</v>
      </c>
      <c r="K87" s="26" t="s">
        <v>42</v>
      </c>
      <c r="L87" s="26" t="s">
        <v>42</v>
      </c>
      <c r="M87" s="60" t="s">
        <v>42</v>
      </c>
      <c r="O87" s="26"/>
      <c r="P87" s="26"/>
      <c r="Q87" s="26"/>
      <c r="R87" s="26"/>
      <c r="S87" s="26"/>
      <c r="T87" s="26"/>
      <c r="U87" s="26"/>
      <c r="V87" s="26"/>
      <c r="W87" s="26"/>
      <c r="X87" s="26"/>
      <c r="Z87" s="26" t="s">
        <v>42</v>
      </c>
      <c r="AA87" s="26" t="s">
        <v>42</v>
      </c>
      <c r="AB87" s="26" t="s">
        <v>42</v>
      </c>
      <c r="AD87" s="26"/>
      <c r="AE87" s="26"/>
      <c r="AF87" s="26"/>
      <c r="AG87" s="26"/>
      <c r="AH87" s="26"/>
      <c r="AI87" s="26"/>
    </row>
    <row r="88" spans="1:35" x14ac:dyDescent="0.25">
      <c r="A88" s="18" t="s">
        <v>576</v>
      </c>
      <c r="B88" s="19" t="s">
        <v>575</v>
      </c>
      <c r="C88" t="s">
        <v>574</v>
      </c>
      <c r="O88" s="26"/>
      <c r="P88" s="26"/>
      <c r="Q88" s="26"/>
      <c r="R88" s="26"/>
      <c r="S88" s="26"/>
      <c r="T88" s="26"/>
      <c r="U88" s="26"/>
      <c r="V88" s="26"/>
      <c r="W88" s="26"/>
      <c r="X88" s="26"/>
      <c r="Z88" s="26"/>
      <c r="AA88" s="26"/>
      <c r="AB88" s="26"/>
      <c r="AD88" s="26"/>
      <c r="AE88" s="26"/>
      <c r="AF88" s="26"/>
      <c r="AG88" s="26"/>
      <c r="AH88" s="26"/>
      <c r="AI88" s="26"/>
    </row>
    <row r="89" spans="1:35" x14ac:dyDescent="0.25">
      <c r="A89" s="20" t="s">
        <v>573</v>
      </c>
      <c r="B89" s="21" t="s">
        <v>572</v>
      </c>
      <c r="D89" s="26" t="s">
        <v>42</v>
      </c>
      <c r="E89" s="26" t="s">
        <v>42</v>
      </c>
      <c r="F89" s="26" t="s">
        <v>42</v>
      </c>
      <c r="G89" s="60" t="s">
        <v>42</v>
      </c>
      <c r="H89" s="26" t="s">
        <v>42</v>
      </c>
      <c r="I89" s="26" t="s">
        <v>42</v>
      </c>
      <c r="J89" s="26" t="s">
        <v>42</v>
      </c>
      <c r="K89" s="26" t="s">
        <v>42</v>
      </c>
      <c r="L89" s="26" t="s">
        <v>42</v>
      </c>
      <c r="M89" s="60" t="s">
        <v>42</v>
      </c>
      <c r="O89" s="26" t="s">
        <v>42</v>
      </c>
      <c r="P89" s="26" t="s">
        <v>42</v>
      </c>
      <c r="Q89" s="26" t="s">
        <v>42</v>
      </c>
      <c r="R89" s="26" t="s">
        <v>42</v>
      </c>
      <c r="S89" s="26" t="s">
        <v>42</v>
      </c>
      <c r="T89" s="26" t="s">
        <v>42</v>
      </c>
      <c r="U89" s="26" t="s">
        <v>42</v>
      </c>
      <c r="V89" s="26" t="s">
        <v>42</v>
      </c>
      <c r="W89" s="26" t="s">
        <v>42</v>
      </c>
      <c r="X89" s="26" t="s">
        <v>42</v>
      </c>
      <c r="Z89" s="26"/>
      <c r="AA89" s="26"/>
      <c r="AB89" s="26"/>
      <c r="AD89" s="26"/>
      <c r="AE89" s="26"/>
      <c r="AF89" s="26"/>
      <c r="AG89" s="26"/>
      <c r="AH89" s="26"/>
      <c r="AI89" s="26"/>
    </row>
    <row r="90" spans="1:35" x14ac:dyDescent="0.25">
      <c r="A90" s="20" t="s">
        <v>571</v>
      </c>
      <c r="B90" s="21" t="s">
        <v>570</v>
      </c>
      <c r="D90" s="26" t="s">
        <v>42</v>
      </c>
      <c r="E90" s="26" t="s">
        <v>42</v>
      </c>
      <c r="F90" s="26" t="s">
        <v>42</v>
      </c>
      <c r="G90" s="60" t="s">
        <v>42</v>
      </c>
      <c r="H90" s="26" t="s">
        <v>42</v>
      </c>
      <c r="I90" s="26" t="s">
        <v>42</v>
      </c>
      <c r="J90" s="26" t="s">
        <v>42</v>
      </c>
      <c r="K90" s="26" t="s">
        <v>42</v>
      </c>
      <c r="L90" s="26" t="s">
        <v>42</v>
      </c>
      <c r="M90" s="60" t="s">
        <v>42</v>
      </c>
      <c r="O90" s="26" t="s">
        <v>42</v>
      </c>
      <c r="P90" s="26" t="s">
        <v>42</v>
      </c>
      <c r="Q90" s="26" t="s">
        <v>42</v>
      </c>
      <c r="R90" s="26" t="s">
        <v>42</v>
      </c>
      <c r="S90" s="26" t="s">
        <v>42</v>
      </c>
      <c r="T90" s="26" t="s">
        <v>42</v>
      </c>
      <c r="U90" s="26" t="s">
        <v>42</v>
      </c>
      <c r="V90" s="26" t="s">
        <v>42</v>
      </c>
      <c r="W90" s="26" t="s">
        <v>42</v>
      </c>
      <c r="X90" s="26" t="s">
        <v>42</v>
      </c>
      <c r="Z90" s="26"/>
      <c r="AA90" s="26"/>
      <c r="AB90" s="26"/>
      <c r="AD90" s="26"/>
      <c r="AE90" s="26"/>
      <c r="AF90" s="26"/>
      <c r="AG90" s="26"/>
      <c r="AH90" s="26"/>
      <c r="AI90" s="26"/>
    </row>
    <row r="91" spans="1:35" x14ac:dyDescent="0.25">
      <c r="A91" s="20" t="s">
        <v>569</v>
      </c>
      <c r="B91" s="21" t="s">
        <v>568</v>
      </c>
      <c r="D91" s="26" t="s">
        <v>42</v>
      </c>
      <c r="E91" s="26" t="s">
        <v>42</v>
      </c>
      <c r="F91" s="26" t="s">
        <v>42</v>
      </c>
      <c r="G91" s="60" t="s">
        <v>42</v>
      </c>
      <c r="H91" s="26" t="s">
        <v>42</v>
      </c>
      <c r="I91" s="26" t="s">
        <v>42</v>
      </c>
      <c r="J91" s="26" t="s">
        <v>42</v>
      </c>
      <c r="K91" s="26" t="s">
        <v>42</v>
      </c>
      <c r="L91" s="26" t="s">
        <v>42</v>
      </c>
      <c r="M91" s="60" t="s">
        <v>42</v>
      </c>
      <c r="O91" s="26" t="s">
        <v>42</v>
      </c>
      <c r="P91" s="26" t="s">
        <v>42</v>
      </c>
      <c r="Q91" s="26" t="s">
        <v>42</v>
      </c>
      <c r="R91" s="26" t="s">
        <v>42</v>
      </c>
      <c r="S91" s="26" t="s">
        <v>42</v>
      </c>
      <c r="T91" s="26" t="s">
        <v>42</v>
      </c>
      <c r="U91" s="26" t="s">
        <v>42</v>
      </c>
      <c r="V91" s="26" t="s">
        <v>42</v>
      </c>
      <c r="W91" s="26" t="s">
        <v>42</v>
      </c>
      <c r="X91" s="26" t="s">
        <v>42</v>
      </c>
      <c r="Z91" s="26"/>
      <c r="AA91" s="26"/>
      <c r="AB91" s="26"/>
      <c r="AD91" s="26"/>
      <c r="AE91" s="26"/>
      <c r="AF91" s="26"/>
      <c r="AG91" s="26"/>
      <c r="AH91" s="26"/>
      <c r="AI91" s="26"/>
    </row>
    <row r="92" spans="1:35" ht="30" x14ac:dyDescent="0.25">
      <c r="A92" s="20" t="s">
        <v>567</v>
      </c>
      <c r="B92" s="21" t="s">
        <v>566</v>
      </c>
      <c r="D92" s="26" t="s">
        <v>42</v>
      </c>
      <c r="E92" s="26" t="s">
        <v>42</v>
      </c>
      <c r="F92" s="26" t="s">
        <v>42</v>
      </c>
      <c r="G92" s="60" t="s">
        <v>42</v>
      </c>
      <c r="H92" s="26" t="s">
        <v>42</v>
      </c>
      <c r="I92" s="26" t="s">
        <v>42</v>
      </c>
      <c r="J92" s="26" t="s">
        <v>42</v>
      </c>
      <c r="K92" s="26" t="s">
        <v>42</v>
      </c>
      <c r="L92" s="26" t="s">
        <v>42</v>
      </c>
      <c r="M92" s="60" t="s">
        <v>42</v>
      </c>
      <c r="O92" s="26" t="s">
        <v>42</v>
      </c>
      <c r="P92" s="26" t="s">
        <v>42</v>
      </c>
      <c r="Q92" s="26" t="s">
        <v>42</v>
      </c>
      <c r="R92" s="26" t="s">
        <v>42</v>
      </c>
      <c r="S92" s="26" t="s">
        <v>42</v>
      </c>
      <c r="T92" s="26" t="s">
        <v>42</v>
      </c>
      <c r="U92" s="26" t="s">
        <v>42</v>
      </c>
      <c r="V92" s="26" t="s">
        <v>42</v>
      </c>
      <c r="W92" s="26" t="s">
        <v>42</v>
      </c>
      <c r="X92" s="26" t="s">
        <v>42</v>
      </c>
      <c r="Z92" s="26"/>
      <c r="AA92" s="26"/>
      <c r="AB92" s="26"/>
      <c r="AD92" s="26"/>
      <c r="AE92" s="26"/>
      <c r="AF92" s="26"/>
      <c r="AG92" s="26"/>
      <c r="AH92" s="26"/>
      <c r="AI92" s="26"/>
    </row>
    <row r="93" spans="1:35" x14ac:dyDescent="0.25">
      <c r="A93" s="20" t="s">
        <v>565</v>
      </c>
      <c r="B93" s="21" t="s">
        <v>564</v>
      </c>
      <c r="D93" s="26" t="s">
        <v>42</v>
      </c>
      <c r="E93" s="26" t="s">
        <v>42</v>
      </c>
      <c r="F93" s="26" t="s">
        <v>42</v>
      </c>
      <c r="G93" s="60" t="s">
        <v>42</v>
      </c>
      <c r="H93" s="26" t="s">
        <v>42</v>
      </c>
      <c r="I93" s="26" t="s">
        <v>42</v>
      </c>
      <c r="J93" s="26" t="s">
        <v>42</v>
      </c>
      <c r="K93" s="26" t="s">
        <v>42</v>
      </c>
      <c r="L93" s="26" t="s">
        <v>42</v>
      </c>
      <c r="M93" s="60" t="s">
        <v>42</v>
      </c>
      <c r="O93" s="26" t="s">
        <v>42</v>
      </c>
      <c r="P93" s="26" t="s">
        <v>42</v>
      </c>
      <c r="Q93" s="26" t="s">
        <v>42</v>
      </c>
      <c r="R93" s="26" t="s">
        <v>42</v>
      </c>
      <c r="S93" s="26" t="s">
        <v>42</v>
      </c>
      <c r="T93" s="26" t="s">
        <v>42</v>
      </c>
      <c r="U93" s="26" t="s">
        <v>42</v>
      </c>
      <c r="V93" s="26" t="s">
        <v>42</v>
      </c>
      <c r="W93" s="26" t="s">
        <v>42</v>
      </c>
      <c r="X93" s="26" t="s">
        <v>42</v>
      </c>
      <c r="Z93" s="26"/>
      <c r="AA93" s="26"/>
      <c r="AB93" s="26"/>
      <c r="AD93" s="26"/>
      <c r="AE93" s="26"/>
      <c r="AF93" s="26"/>
      <c r="AG93" s="26"/>
      <c r="AH93" s="26"/>
      <c r="AI93" s="26"/>
    </row>
    <row r="94" spans="1:35" x14ac:dyDescent="0.25">
      <c r="A94" s="20" t="s">
        <v>563</v>
      </c>
      <c r="B94" s="21" t="s">
        <v>562</v>
      </c>
      <c r="D94" s="26" t="s">
        <v>42</v>
      </c>
      <c r="E94" s="26" t="s">
        <v>42</v>
      </c>
      <c r="F94" s="26" t="s">
        <v>42</v>
      </c>
      <c r="G94" s="60" t="s">
        <v>42</v>
      </c>
      <c r="H94" s="26" t="s">
        <v>42</v>
      </c>
      <c r="I94" s="26" t="s">
        <v>42</v>
      </c>
      <c r="J94" s="26" t="s">
        <v>42</v>
      </c>
      <c r="K94" s="26" t="s">
        <v>42</v>
      </c>
      <c r="L94" s="26" t="s">
        <v>42</v>
      </c>
      <c r="M94" s="60" t="s">
        <v>42</v>
      </c>
      <c r="O94" s="26" t="s">
        <v>42</v>
      </c>
      <c r="P94" s="26" t="s">
        <v>42</v>
      </c>
      <c r="Q94" s="26" t="s">
        <v>42</v>
      </c>
      <c r="R94" s="26" t="s">
        <v>42</v>
      </c>
      <c r="S94" s="26" t="s">
        <v>42</v>
      </c>
      <c r="T94" s="26" t="s">
        <v>42</v>
      </c>
      <c r="U94" s="26" t="s">
        <v>42</v>
      </c>
      <c r="V94" s="26" t="s">
        <v>42</v>
      </c>
      <c r="W94" s="26" t="s">
        <v>42</v>
      </c>
      <c r="X94" s="26" t="s">
        <v>42</v>
      </c>
      <c r="Z94" s="26"/>
      <c r="AA94" s="26"/>
      <c r="AB94" s="26"/>
      <c r="AD94" s="26"/>
      <c r="AE94" s="26"/>
      <c r="AF94" s="26"/>
      <c r="AG94" s="26"/>
      <c r="AH94" s="26"/>
      <c r="AI94" s="26"/>
    </row>
    <row r="95" spans="1:35" x14ac:dyDescent="0.25">
      <c r="A95" s="20" t="s">
        <v>561</v>
      </c>
      <c r="B95" s="21" t="s">
        <v>560</v>
      </c>
      <c r="D95" s="26" t="s">
        <v>42</v>
      </c>
      <c r="E95" s="26" t="s">
        <v>42</v>
      </c>
      <c r="F95" s="26" t="s">
        <v>42</v>
      </c>
      <c r="G95" s="60" t="s">
        <v>42</v>
      </c>
      <c r="H95" s="26" t="s">
        <v>42</v>
      </c>
      <c r="I95" s="26" t="s">
        <v>42</v>
      </c>
      <c r="J95" s="26" t="s">
        <v>42</v>
      </c>
      <c r="K95" s="26" t="s">
        <v>42</v>
      </c>
      <c r="L95" s="26" t="s">
        <v>42</v>
      </c>
      <c r="M95" s="60" t="s">
        <v>42</v>
      </c>
      <c r="O95" s="26" t="s">
        <v>42</v>
      </c>
      <c r="P95" s="26" t="s">
        <v>42</v>
      </c>
      <c r="Q95" s="26" t="s">
        <v>42</v>
      </c>
      <c r="R95" s="26" t="s">
        <v>42</v>
      </c>
      <c r="S95" s="26" t="s">
        <v>42</v>
      </c>
      <c r="T95" s="26" t="s">
        <v>42</v>
      </c>
      <c r="U95" s="26" t="s">
        <v>42</v>
      </c>
      <c r="V95" s="26" t="s">
        <v>42</v>
      </c>
      <c r="W95" s="26" t="s">
        <v>42</v>
      </c>
      <c r="X95" s="26" t="s">
        <v>42</v>
      </c>
      <c r="Z95" s="26"/>
      <c r="AA95" s="26"/>
      <c r="AB95" s="26"/>
      <c r="AD95" s="26"/>
      <c r="AE95" s="26"/>
      <c r="AF95" s="26"/>
      <c r="AG95" s="26"/>
      <c r="AH95" s="26"/>
      <c r="AI95" s="26"/>
    </row>
    <row r="96" spans="1:35" x14ac:dyDescent="0.25">
      <c r="A96" s="20" t="s">
        <v>559</v>
      </c>
      <c r="B96" s="21" t="s">
        <v>558</v>
      </c>
      <c r="D96" s="26" t="s">
        <v>42</v>
      </c>
      <c r="E96" s="26" t="s">
        <v>42</v>
      </c>
      <c r="F96" s="26" t="s">
        <v>42</v>
      </c>
      <c r="G96" s="60" t="s">
        <v>42</v>
      </c>
      <c r="H96" s="26" t="s">
        <v>42</v>
      </c>
      <c r="I96" s="26" t="s">
        <v>42</v>
      </c>
      <c r="J96" s="26" t="s">
        <v>42</v>
      </c>
      <c r="K96" s="26" t="s">
        <v>42</v>
      </c>
      <c r="L96" s="26" t="s">
        <v>42</v>
      </c>
      <c r="M96" s="60" t="s">
        <v>42</v>
      </c>
      <c r="O96" s="26" t="s">
        <v>42</v>
      </c>
      <c r="P96" s="26" t="s">
        <v>42</v>
      </c>
      <c r="Q96" s="26" t="s">
        <v>42</v>
      </c>
      <c r="R96" s="26" t="s">
        <v>42</v>
      </c>
      <c r="S96" s="26" t="s">
        <v>42</v>
      </c>
      <c r="T96" s="26" t="s">
        <v>42</v>
      </c>
      <c r="U96" s="26" t="s">
        <v>42</v>
      </c>
      <c r="V96" s="26" t="s">
        <v>42</v>
      </c>
      <c r="W96" s="26" t="s">
        <v>42</v>
      </c>
      <c r="X96" s="26" t="s">
        <v>42</v>
      </c>
      <c r="Z96" s="26"/>
      <c r="AA96" s="26"/>
      <c r="AB96" s="26"/>
      <c r="AD96" s="26"/>
      <c r="AE96" s="26"/>
      <c r="AF96" s="26"/>
      <c r="AG96" s="26"/>
      <c r="AH96" s="26"/>
      <c r="AI96" s="26"/>
    </row>
    <row r="97" spans="1:35" ht="30" x14ac:dyDescent="0.25">
      <c r="A97" s="20" t="s">
        <v>557</v>
      </c>
      <c r="B97" s="21" t="s">
        <v>556</v>
      </c>
      <c r="D97" s="26" t="s">
        <v>42</v>
      </c>
      <c r="E97" s="26" t="s">
        <v>42</v>
      </c>
      <c r="F97" s="26" t="s">
        <v>42</v>
      </c>
      <c r="G97" s="60" t="s">
        <v>42</v>
      </c>
      <c r="H97" s="26" t="s">
        <v>42</v>
      </c>
      <c r="I97" s="26" t="s">
        <v>42</v>
      </c>
      <c r="J97" s="26" t="s">
        <v>42</v>
      </c>
      <c r="K97" s="26" t="s">
        <v>42</v>
      </c>
      <c r="L97" s="26" t="s">
        <v>42</v>
      </c>
      <c r="M97" s="60" t="s">
        <v>42</v>
      </c>
      <c r="O97" s="26" t="s">
        <v>42</v>
      </c>
      <c r="P97" s="26" t="s">
        <v>42</v>
      </c>
      <c r="Q97" s="26" t="s">
        <v>42</v>
      </c>
      <c r="R97" s="26" t="s">
        <v>42</v>
      </c>
      <c r="S97" s="26" t="s">
        <v>42</v>
      </c>
      <c r="T97" s="26" t="s">
        <v>42</v>
      </c>
      <c r="U97" s="26" t="s">
        <v>42</v>
      </c>
      <c r="V97" s="26" t="s">
        <v>42</v>
      </c>
      <c r="W97" s="26" t="s">
        <v>42</v>
      </c>
      <c r="X97" s="26" t="s">
        <v>42</v>
      </c>
      <c r="Z97" s="26"/>
      <c r="AA97" s="26"/>
      <c r="AB97" s="26"/>
      <c r="AD97" s="26"/>
      <c r="AE97" s="26"/>
      <c r="AF97" s="26"/>
      <c r="AG97" s="26"/>
      <c r="AH97" s="26"/>
      <c r="AI97" s="26"/>
    </row>
    <row r="98" spans="1:35" x14ac:dyDescent="0.25">
      <c r="A98" s="20" t="s">
        <v>555</v>
      </c>
      <c r="B98" s="21" t="s">
        <v>554</v>
      </c>
      <c r="D98" s="26" t="s">
        <v>42</v>
      </c>
      <c r="E98" s="26" t="s">
        <v>42</v>
      </c>
      <c r="F98" s="26" t="s">
        <v>42</v>
      </c>
      <c r="G98" s="60" t="s">
        <v>42</v>
      </c>
      <c r="H98" s="26" t="s">
        <v>42</v>
      </c>
      <c r="I98" s="26" t="s">
        <v>42</v>
      </c>
      <c r="J98" s="26" t="s">
        <v>42</v>
      </c>
      <c r="K98" s="26" t="s">
        <v>42</v>
      </c>
      <c r="L98" s="26" t="s">
        <v>42</v>
      </c>
      <c r="M98" s="60" t="s">
        <v>42</v>
      </c>
      <c r="O98" s="26" t="s">
        <v>42</v>
      </c>
      <c r="P98" s="26" t="s">
        <v>42</v>
      </c>
      <c r="Q98" s="26" t="s">
        <v>42</v>
      </c>
      <c r="R98" s="26" t="s">
        <v>42</v>
      </c>
      <c r="S98" s="26" t="s">
        <v>42</v>
      </c>
      <c r="T98" s="26" t="s">
        <v>42</v>
      </c>
      <c r="U98" s="26" t="s">
        <v>42</v>
      </c>
      <c r="V98" s="26" t="s">
        <v>42</v>
      </c>
      <c r="W98" s="26" t="s">
        <v>42</v>
      </c>
      <c r="X98" s="26" t="s">
        <v>42</v>
      </c>
      <c r="Z98" s="26"/>
      <c r="AA98" s="26"/>
      <c r="AB98" s="26"/>
      <c r="AD98" s="26"/>
      <c r="AE98" s="26"/>
      <c r="AF98" s="26"/>
      <c r="AG98" s="26"/>
      <c r="AH98" s="26"/>
      <c r="AI98" s="26"/>
    </row>
    <row r="99" spans="1:35" x14ac:dyDescent="0.25">
      <c r="A99" s="20" t="s">
        <v>553</v>
      </c>
      <c r="B99" s="21" t="s">
        <v>552</v>
      </c>
      <c r="D99" s="26" t="s">
        <v>42</v>
      </c>
      <c r="E99" s="26" t="s">
        <v>42</v>
      </c>
      <c r="F99" s="26" t="s">
        <v>42</v>
      </c>
      <c r="G99" s="60" t="s">
        <v>42</v>
      </c>
      <c r="H99" s="26" t="s">
        <v>42</v>
      </c>
      <c r="I99" s="26" t="s">
        <v>42</v>
      </c>
      <c r="J99" s="26" t="s">
        <v>42</v>
      </c>
      <c r="K99" s="26" t="s">
        <v>42</v>
      </c>
      <c r="L99" s="26" t="s">
        <v>42</v>
      </c>
      <c r="M99" s="60" t="s">
        <v>42</v>
      </c>
      <c r="O99" s="26" t="s">
        <v>42</v>
      </c>
      <c r="P99" s="26" t="s">
        <v>42</v>
      </c>
      <c r="Q99" s="26" t="s">
        <v>42</v>
      </c>
      <c r="R99" s="26" t="s">
        <v>42</v>
      </c>
      <c r="S99" s="26" t="s">
        <v>42</v>
      </c>
      <c r="T99" s="26" t="s">
        <v>42</v>
      </c>
      <c r="U99" s="26" t="s">
        <v>42</v>
      </c>
      <c r="V99" s="26" t="s">
        <v>42</v>
      </c>
      <c r="W99" s="26" t="s">
        <v>42</v>
      </c>
      <c r="X99" s="26" t="s">
        <v>42</v>
      </c>
      <c r="Z99" s="26"/>
      <c r="AA99" s="26"/>
      <c r="AB99" s="26"/>
      <c r="AD99" s="26"/>
      <c r="AE99" s="26"/>
      <c r="AF99" s="26"/>
      <c r="AG99" s="26"/>
      <c r="AH99" s="26"/>
      <c r="AI99" s="26"/>
    </row>
    <row r="100" spans="1:35" x14ac:dyDescent="0.25">
      <c r="A100" s="20" t="s">
        <v>551</v>
      </c>
      <c r="B100" s="21" t="s">
        <v>550</v>
      </c>
      <c r="D100" s="26" t="s">
        <v>42</v>
      </c>
      <c r="E100" s="26" t="s">
        <v>42</v>
      </c>
      <c r="F100" s="26" t="s">
        <v>42</v>
      </c>
      <c r="G100" s="60" t="s">
        <v>42</v>
      </c>
      <c r="H100" s="26" t="s">
        <v>42</v>
      </c>
      <c r="I100" s="26" t="s">
        <v>42</v>
      </c>
      <c r="J100" s="26" t="s">
        <v>42</v>
      </c>
      <c r="K100" s="26" t="s">
        <v>42</v>
      </c>
      <c r="L100" s="26" t="s">
        <v>42</v>
      </c>
      <c r="M100" s="60" t="s">
        <v>42</v>
      </c>
      <c r="O100" s="26" t="s">
        <v>42</v>
      </c>
      <c r="P100" s="26" t="s">
        <v>42</v>
      </c>
      <c r="Q100" s="26" t="s">
        <v>42</v>
      </c>
      <c r="R100" s="26" t="s">
        <v>42</v>
      </c>
      <c r="S100" s="26" t="s">
        <v>42</v>
      </c>
      <c r="T100" s="26" t="s">
        <v>42</v>
      </c>
      <c r="U100" s="26" t="s">
        <v>42</v>
      </c>
      <c r="V100" s="26" t="s">
        <v>42</v>
      </c>
      <c r="W100" s="26" t="s">
        <v>42</v>
      </c>
      <c r="X100" s="26" t="s">
        <v>42</v>
      </c>
      <c r="Z100" s="26"/>
      <c r="AA100" s="26"/>
      <c r="AB100" s="26"/>
      <c r="AD100" s="26"/>
      <c r="AE100" s="26"/>
      <c r="AF100" s="26"/>
      <c r="AG100" s="26"/>
      <c r="AH100" s="26"/>
      <c r="AI100" s="26"/>
    </row>
    <row r="101" spans="1:35" x14ac:dyDescent="0.25">
      <c r="A101" s="20" t="s">
        <v>549</v>
      </c>
      <c r="B101" s="21" t="s">
        <v>548</v>
      </c>
      <c r="D101" s="26" t="s">
        <v>42</v>
      </c>
      <c r="E101" s="26" t="s">
        <v>42</v>
      </c>
      <c r="F101" s="26" t="s">
        <v>42</v>
      </c>
      <c r="G101" s="60" t="s">
        <v>42</v>
      </c>
      <c r="H101" s="26" t="s">
        <v>42</v>
      </c>
      <c r="I101" s="26" t="s">
        <v>42</v>
      </c>
      <c r="J101" s="26" t="s">
        <v>42</v>
      </c>
      <c r="K101" s="26" t="s">
        <v>42</v>
      </c>
      <c r="L101" s="26" t="s">
        <v>42</v>
      </c>
      <c r="M101" s="60" t="s">
        <v>42</v>
      </c>
      <c r="O101" s="26" t="s">
        <v>42</v>
      </c>
      <c r="P101" s="26" t="s">
        <v>42</v>
      </c>
      <c r="Q101" s="26" t="s">
        <v>42</v>
      </c>
      <c r="R101" s="26" t="s">
        <v>42</v>
      </c>
      <c r="S101" s="26" t="s">
        <v>42</v>
      </c>
      <c r="T101" s="26" t="s">
        <v>42</v>
      </c>
      <c r="U101" s="26" t="s">
        <v>42</v>
      </c>
      <c r="V101" s="26" t="s">
        <v>42</v>
      </c>
      <c r="W101" s="26" t="s">
        <v>42</v>
      </c>
      <c r="X101" s="26" t="s">
        <v>42</v>
      </c>
      <c r="Z101" s="26"/>
      <c r="AA101" s="26"/>
      <c r="AB101" s="26"/>
      <c r="AD101" s="26"/>
      <c r="AE101" s="26"/>
      <c r="AF101" s="26"/>
      <c r="AG101" s="26"/>
      <c r="AH101" s="26"/>
      <c r="AI101" s="26"/>
    </row>
    <row r="102" spans="1:35" ht="30" x14ac:dyDescent="0.25">
      <c r="A102" s="20" t="s">
        <v>547</v>
      </c>
      <c r="B102" s="21" t="s">
        <v>546</v>
      </c>
      <c r="D102" s="26" t="s">
        <v>42</v>
      </c>
      <c r="E102" s="26" t="s">
        <v>42</v>
      </c>
      <c r="F102" s="26" t="s">
        <v>42</v>
      </c>
      <c r="G102" s="60" t="s">
        <v>42</v>
      </c>
      <c r="H102" s="26" t="s">
        <v>42</v>
      </c>
      <c r="I102" s="26" t="s">
        <v>42</v>
      </c>
      <c r="J102" s="26" t="s">
        <v>42</v>
      </c>
      <c r="K102" s="26" t="s">
        <v>42</v>
      </c>
      <c r="L102" s="26" t="s">
        <v>42</v>
      </c>
      <c r="M102" s="60" t="s">
        <v>42</v>
      </c>
      <c r="O102" s="26" t="s">
        <v>42</v>
      </c>
      <c r="P102" s="26" t="s">
        <v>42</v>
      </c>
      <c r="Q102" s="26" t="s">
        <v>42</v>
      </c>
      <c r="R102" s="26" t="s">
        <v>42</v>
      </c>
      <c r="S102" s="26" t="s">
        <v>42</v>
      </c>
      <c r="T102" s="26" t="s">
        <v>42</v>
      </c>
      <c r="U102" s="26" t="s">
        <v>42</v>
      </c>
      <c r="V102" s="26" t="s">
        <v>42</v>
      </c>
      <c r="W102" s="26" t="s">
        <v>42</v>
      </c>
      <c r="X102" s="26" t="s">
        <v>42</v>
      </c>
      <c r="Z102" s="26"/>
      <c r="AA102" s="26"/>
      <c r="AB102" s="26"/>
      <c r="AD102" s="26"/>
      <c r="AE102" s="26"/>
      <c r="AF102" s="26"/>
      <c r="AG102" s="26"/>
      <c r="AH102" s="26"/>
      <c r="AI102" s="26"/>
    </row>
    <row r="103" spans="1:35" x14ac:dyDescent="0.25">
      <c r="A103" s="20" t="s">
        <v>545</v>
      </c>
      <c r="B103" s="21" t="s">
        <v>544</v>
      </c>
      <c r="D103" s="26" t="s">
        <v>42</v>
      </c>
      <c r="E103" s="26" t="s">
        <v>42</v>
      </c>
      <c r="F103" s="26" t="s">
        <v>42</v>
      </c>
      <c r="G103" s="60" t="s">
        <v>42</v>
      </c>
      <c r="H103" s="26" t="s">
        <v>42</v>
      </c>
      <c r="I103" s="26" t="s">
        <v>42</v>
      </c>
      <c r="J103" s="26" t="s">
        <v>42</v>
      </c>
      <c r="K103" s="26" t="s">
        <v>42</v>
      </c>
      <c r="L103" s="26" t="s">
        <v>42</v>
      </c>
      <c r="M103" s="60" t="s">
        <v>42</v>
      </c>
      <c r="O103" s="26" t="s">
        <v>42</v>
      </c>
      <c r="P103" s="26" t="s">
        <v>42</v>
      </c>
      <c r="Q103" s="26" t="s">
        <v>42</v>
      </c>
      <c r="R103" s="26" t="s">
        <v>42</v>
      </c>
      <c r="S103" s="26" t="s">
        <v>42</v>
      </c>
      <c r="T103" s="26" t="s">
        <v>42</v>
      </c>
      <c r="U103" s="26" t="s">
        <v>42</v>
      </c>
      <c r="V103" s="26" t="s">
        <v>42</v>
      </c>
      <c r="W103" s="26" t="s">
        <v>42</v>
      </c>
      <c r="X103" s="26" t="s">
        <v>42</v>
      </c>
      <c r="Z103" s="26"/>
      <c r="AA103" s="26"/>
      <c r="AB103" s="26"/>
      <c r="AD103" s="26"/>
      <c r="AE103" s="26"/>
      <c r="AF103" s="26"/>
      <c r="AG103" s="26"/>
      <c r="AH103" s="26"/>
      <c r="AI103" s="26"/>
    </row>
    <row r="104" spans="1:35" x14ac:dyDescent="0.25">
      <c r="A104" s="20" t="s">
        <v>543</v>
      </c>
      <c r="B104" s="21" t="s">
        <v>542</v>
      </c>
      <c r="D104" s="26" t="s">
        <v>42</v>
      </c>
      <c r="E104" s="26" t="s">
        <v>42</v>
      </c>
      <c r="F104" s="26" t="s">
        <v>42</v>
      </c>
      <c r="G104" s="60" t="s">
        <v>42</v>
      </c>
      <c r="H104" s="26" t="s">
        <v>42</v>
      </c>
      <c r="I104" s="26" t="s">
        <v>42</v>
      </c>
      <c r="J104" s="26" t="s">
        <v>42</v>
      </c>
      <c r="K104" s="26" t="s">
        <v>42</v>
      </c>
      <c r="L104" s="26" t="s">
        <v>42</v>
      </c>
      <c r="M104" s="60" t="s">
        <v>42</v>
      </c>
      <c r="O104" s="26" t="s">
        <v>42</v>
      </c>
      <c r="P104" s="26" t="s">
        <v>42</v>
      </c>
      <c r="Q104" s="26" t="s">
        <v>42</v>
      </c>
      <c r="R104" s="26" t="s">
        <v>42</v>
      </c>
      <c r="S104" s="26" t="s">
        <v>42</v>
      </c>
      <c r="T104" s="26" t="s">
        <v>42</v>
      </c>
      <c r="U104" s="26" t="s">
        <v>42</v>
      </c>
      <c r="V104" s="26" t="s">
        <v>42</v>
      </c>
      <c r="W104" s="26" t="s">
        <v>42</v>
      </c>
      <c r="X104" s="26" t="s">
        <v>42</v>
      </c>
      <c r="Z104" s="26"/>
      <c r="AA104" s="26"/>
      <c r="AB104" s="26"/>
      <c r="AD104" s="26"/>
      <c r="AE104" s="26"/>
      <c r="AF104" s="26"/>
      <c r="AG104" s="26"/>
      <c r="AH104" s="26"/>
      <c r="AI104" s="26"/>
    </row>
    <row r="105" spans="1:35" x14ac:dyDescent="0.25">
      <c r="A105" s="20" t="s">
        <v>541</v>
      </c>
      <c r="B105" s="21" t="s">
        <v>540</v>
      </c>
      <c r="D105" s="26" t="s">
        <v>42</v>
      </c>
      <c r="E105" s="26" t="s">
        <v>42</v>
      </c>
      <c r="F105" s="26" t="s">
        <v>42</v>
      </c>
      <c r="G105" s="60" t="s">
        <v>42</v>
      </c>
      <c r="H105" s="26" t="s">
        <v>42</v>
      </c>
      <c r="I105" s="26" t="s">
        <v>42</v>
      </c>
      <c r="J105" s="26" t="s">
        <v>42</v>
      </c>
      <c r="K105" s="26" t="s">
        <v>42</v>
      </c>
      <c r="L105" s="26" t="s">
        <v>42</v>
      </c>
      <c r="M105" s="60" t="s">
        <v>42</v>
      </c>
      <c r="O105" s="26" t="s">
        <v>42</v>
      </c>
      <c r="P105" s="26" t="s">
        <v>42</v>
      </c>
      <c r="Q105" s="26" t="s">
        <v>42</v>
      </c>
      <c r="R105" s="26" t="s">
        <v>42</v>
      </c>
      <c r="S105" s="26" t="s">
        <v>42</v>
      </c>
      <c r="T105" s="26" t="s">
        <v>42</v>
      </c>
      <c r="U105" s="26" t="s">
        <v>42</v>
      </c>
      <c r="V105" s="26" t="s">
        <v>42</v>
      </c>
      <c r="W105" s="26" t="s">
        <v>42</v>
      </c>
      <c r="X105" s="26" t="s">
        <v>42</v>
      </c>
      <c r="Z105" s="26"/>
      <c r="AA105" s="26"/>
      <c r="AB105" s="26"/>
      <c r="AD105" s="26"/>
      <c r="AE105" s="26"/>
      <c r="AF105" s="26"/>
      <c r="AG105" s="26"/>
      <c r="AH105" s="26"/>
      <c r="AI105" s="26"/>
    </row>
    <row r="106" spans="1:35" x14ac:dyDescent="0.25">
      <c r="A106" s="20" t="s">
        <v>539</v>
      </c>
      <c r="B106" s="21" t="s">
        <v>538</v>
      </c>
      <c r="D106" s="26" t="s">
        <v>42</v>
      </c>
      <c r="E106" s="26" t="s">
        <v>42</v>
      </c>
      <c r="F106" s="26" t="s">
        <v>42</v>
      </c>
      <c r="G106" s="60" t="s">
        <v>42</v>
      </c>
      <c r="H106" s="26" t="s">
        <v>42</v>
      </c>
      <c r="I106" s="26" t="s">
        <v>42</v>
      </c>
      <c r="J106" s="26" t="s">
        <v>42</v>
      </c>
      <c r="K106" s="26" t="s">
        <v>42</v>
      </c>
      <c r="L106" s="26" t="s">
        <v>42</v>
      </c>
      <c r="M106" s="60" t="s">
        <v>42</v>
      </c>
      <c r="O106" s="26" t="s">
        <v>42</v>
      </c>
      <c r="P106" s="26" t="s">
        <v>42</v>
      </c>
      <c r="Q106" s="26" t="s">
        <v>42</v>
      </c>
      <c r="R106" s="26" t="s">
        <v>42</v>
      </c>
      <c r="S106" s="26" t="s">
        <v>42</v>
      </c>
      <c r="T106" s="26" t="s">
        <v>42</v>
      </c>
      <c r="U106" s="26" t="s">
        <v>42</v>
      </c>
      <c r="V106" s="26" t="s">
        <v>42</v>
      </c>
      <c r="W106" s="26" t="s">
        <v>42</v>
      </c>
      <c r="X106" s="26" t="s">
        <v>42</v>
      </c>
      <c r="Z106" s="26"/>
      <c r="AA106" s="26"/>
      <c r="AB106" s="26"/>
      <c r="AD106" s="26"/>
      <c r="AE106" s="26"/>
      <c r="AF106" s="26"/>
      <c r="AG106" s="26"/>
      <c r="AH106" s="26"/>
      <c r="AI106" s="26"/>
    </row>
    <row r="107" spans="1:35" ht="30" x14ac:dyDescent="0.25">
      <c r="A107" s="20" t="s">
        <v>537</v>
      </c>
      <c r="B107" s="21" t="s">
        <v>536</v>
      </c>
      <c r="D107" s="26" t="s">
        <v>42</v>
      </c>
      <c r="E107" s="26" t="s">
        <v>42</v>
      </c>
      <c r="F107" s="26" t="s">
        <v>42</v>
      </c>
      <c r="G107" s="60" t="s">
        <v>42</v>
      </c>
      <c r="H107" s="26" t="s">
        <v>42</v>
      </c>
      <c r="I107" s="26" t="s">
        <v>42</v>
      </c>
      <c r="J107" s="26" t="s">
        <v>42</v>
      </c>
      <c r="K107" s="26" t="s">
        <v>42</v>
      </c>
      <c r="L107" s="26" t="s">
        <v>42</v>
      </c>
      <c r="M107" s="60" t="s">
        <v>42</v>
      </c>
      <c r="O107" s="26" t="s">
        <v>42</v>
      </c>
      <c r="P107" s="26" t="s">
        <v>42</v>
      </c>
      <c r="Q107" s="26" t="s">
        <v>42</v>
      </c>
      <c r="R107" s="26" t="s">
        <v>42</v>
      </c>
      <c r="S107" s="26" t="s">
        <v>42</v>
      </c>
      <c r="T107" s="26" t="s">
        <v>42</v>
      </c>
      <c r="U107" s="26" t="s">
        <v>42</v>
      </c>
      <c r="V107" s="26" t="s">
        <v>42</v>
      </c>
      <c r="W107" s="26" t="s">
        <v>42</v>
      </c>
      <c r="X107" s="26" t="s">
        <v>42</v>
      </c>
      <c r="Z107" s="26"/>
      <c r="AA107" s="26"/>
      <c r="AB107" s="26"/>
      <c r="AD107" s="26"/>
      <c r="AE107" s="26"/>
      <c r="AF107" s="26"/>
      <c r="AG107" s="26"/>
      <c r="AH107" s="26"/>
      <c r="AI107" s="26"/>
    </row>
    <row r="108" spans="1:35" x14ac:dyDescent="0.25">
      <c r="A108" s="18" t="s">
        <v>535</v>
      </c>
      <c r="B108" s="19" t="s">
        <v>534</v>
      </c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Z108" s="26"/>
      <c r="AA108" s="26"/>
      <c r="AB108" s="26"/>
      <c r="AD108" s="26"/>
      <c r="AE108" s="26"/>
      <c r="AF108" s="26"/>
      <c r="AG108" s="26"/>
      <c r="AH108" s="26"/>
      <c r="AI108" s="26"/>
    </row>
    <row r="109" spans="1:35" x14ac:dyDescent="0.25">
      <c r="A109" s="20" t="s">
        <v>533</v>
      </c>
      <c r="B109" s="21" t="s">
        <v>532</v>
      </c>
      <c r="D109" s="26" t="s">
        <v>42</v>
      </c>
      <c r="E109" s="26" t="s">
        <v>42</v>
      </c>
      <c r="F109" s="26" t="s">
        <v>42</v>
      </c>
      <c r="G109" s="60" t="s">
        <v>42</v>
      </c>
      <c r="H109" s="26" t="s">
        <v>42</v>
      </c>
      <c r="I109" s="26" t="s">
        <v>42</v>
      </c>
      <c r="O109" s="26" t="s">
        <v>42</v>
      </c>
      <c r="P109" s="26" t="s">
        <v>42</v>
      </c>
      <c r="Q109" s="26" t="s">
        <v>42</v>
      </c>
      <c r="R109" s="26" t="s">
        <v>42</v>
      </c>
      <c r="S109" s="26" t="s">
        <v>42</v>
      </c>
      <c r="T109" s="26" t="s">
        <v>42</v>
      </c>
      <c r="U109" s="26"/>
      <c r="V109" s="26"/>
      <c r="W109" s="26"/>
      <c r="X109" s="26"/>
      <c r="Z109" s="26"/>
      <c r="AA109" s="26"/>
      <c r="AB109" s="26"/>
      <c r="AD109" s="26"/>
      <c r="AE109" s="26"/>
      <c r="AF109" s="26"/>
      <c r="AG109" s="26"/>
      <c r="AH109" s="26"/>
      <c r="AI109" s="26"/>
    </row>
    <row r="110" spans="1:35" x14ac:dyDescent="0.25">
      <c r="A110" s="20" t="s">
        <v>531</v>
      </c>
      <c r="B110" s="21" t="s">
        <v>139</v>
      </c>
      <c r="D110" s="26" t="s">
        <v>42</v>
      </c>
      <c r="E110" s="26" t="s">
        <v>42</v>
      </c>
      <c r="F110" s="26" t="s">
        <v>42</v>
      </c>
      <c r="G110" s="60" t="s">
        <v>42</v>
      </c>
      <c r="H110" s="26" t="s">
        <v>42</v>
      </c>
      <c r="I110" s="26" t="s">
        <v>42</v>
      </c>
      <c r="J110" s="26" t="s">
        <v>42</v>
      </c>
      <c r="K110" s="26" t="s">
        <v>42</v>
      </c>
      <c r="L110" s="26" t="s">
        <v>42</v>
      </c>
      <c r="M110" s="60" t="s">
        <v>42</v>
      </c>
      <c r="O110" s="26" t="s">
        <v>42</v>
      </c>
      <c r="P110" s="26" t="s">
        <v>42</v>
      </c>
      <c r="Q110" s="26" t="s">
        <v>42</v>
      </c>
      <c r="R110" s="26" t="s">
        <v>42</v>
      </c>
      <c r="S110" s="26" t="s">
        <v>42</v>
      </c>
      <c r="T110" s="26" t="s">
        <v>42</v>
      </c>
      <c r="U110" s="26" t="s">
        <v>42</v>
      </c>
      <c r="V110" s="26" t="s">
        <v>42</v>
      </c>
      <c r="W110" s="26" t="s">
        <v>42</v>
      </c>
      <c r="X110" s="26" t="s">
        <v>42</v>
      </c>
      <c r="Z110" s="26"/>
      <c r="AA110" s="26"/>
      <c r="AB110" s="26"/>
      <c r="AD110" s="26"/>
      <c r="AE110" s="26"/>
      <c r="AF110" s="26"/>
      <c r="AG110" s="26"/>
      <c r="AH110" s="26"/>
      <c r="AI110" s="26"/>
    </row>
    <row r="111" spans="1:35" x14ac:dyDescent="0.25">
      <c r="A111" s="20" t="s">
        <v>530</v>
      </c>
      <c r="B111" s="21" t="s">
        <v>529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Z111" s="26"/>
      <c r="AA111" s="26"/>
      <c r="AB111" s="26"/>
      <c r="AD111" s="26"/>
      <c r="AE111" s="26"/>
      <c r="AF111" s="26"/>
      <c r="AG111" s="26"/>
      <c r="AH111" s="26"/>
      <c r="AI111" s="26"/>
    </row>
    <row r="112" spans="1:35" ht="17.100000000000001" customHeight="1" x14ac:dyDescent="0.25">
      <c r="A112" s="20" t="s">
        <v>528</v>
      </c>
      <c r="B112" s="21" t="s">
        <v>143</v>
      </c>
      <c r="O112" s="26" t="s">
        <v>42</v>
      </c>
      <c r="P112" s="26" t="s">
        <v>42</v>
      </c>
      <c r="Q112" s="26" t="s">
        <v>42</v>
      </c>
      <c r="R112" s="26" t="s">
        <v>42</v>
      </c>
      <c r="S112" s="26" t="s">
        <v>42</v>
      </c>
      <c r="T112" s="26" t="s">
        <v>42</v>
      </c>
      <c r="U112" s="26"/>
      <c r="V112" s="26"/>
      <c r="W112" s="26"/>
      <c r="X112" s="26"/>
      <c r="AD112" s="26"/>
      <c r="AE112" s="26"/>
      <c r="AF112" s="26"/>
      <c r="AG112" s="26"/>
      <c r="AH112" s="26"/>
      <c r="AI112" s="26"/>
    </row>
    <row r="113" spans="1:35" ht="30" x14ac:dyDescent="0.25">
      <c r="A113" s="20" t="s">
        <v>527</v>
      </c>
      <c r="B113" s="21" t="s">
        <v>145</v>
      </c>
      <c r="O113" s="26" t="s">
        <v>82</v>
      </c>
      <c r="P113" s="26" t="s">
        <v>82</v>
      </c>
      <c r="Q113" s="26"/>
      <c r="R113" s="26"/>
      <c r="S113" s="26"/>
      <c r="T113" s="26"/>
      <c r="U113" s="26"/>
      <c r="V113" s="26"/>
      <c r="W113" s="26"/>
      <c r="X113" s="26"/>
      <c r="Z113" s="26"/>
      <c r="AA113" s="26"/>
      <c r="AB113" s="26"/>
      <c r="AD113" s="26"/>
      <c r="AE113" s="26"/>
      <c r="AF113" s="26"/>
      <c r="AG113" s="26"/>
      <c r="AH113" s="26"/>
      <c r="AI113" s="26"/>
    </row>
    <row r="114" spans="1:35" ht="30" x14ac:dyDescent="0.25">
      <c r="A114" s="20" t="s">
        <v>526</v>
      </c>
      <c r="B114" s="21" t="s">
        <v>147</v>
      </c>
      <c r="O114" s="26" t="s">
        <v>82</v>
      </c>
      <c r="P114" s="26" t="s">
        <v>82</v>
      </c>
      <c r="Q114" s="26"/>
      <c r="R114" s="26"/>
      <c r="S114" s="26"/>
      <c r="T114" s="26"/>
      <c r="U114" s="26"/>
      <c r="V114" s="26"/>
      <c r="W114" s="26"/>
      <c r="X114" s="26"/>
      <c r="Z114" s="26"/>
      <c r="AA114" s="26"/>
      <c r="AB114" s="26"/>
      <c r="AD114" s="26"/>
      <c r="AE114" s="26"/>
      <c r="AF114" s="26"/>
      <c r="AG114" s="26"/>
      <c r="AH114" s="26"/>
      <c r="AI114" s="26"/>
    </row>
    <row r="115" spans="1:35" x14ac:dyDescent="0.25">
      <c r="A115" s="20" t="s">
        <v>525</v>
      </c>
      <c r="B115" s="21" t="s">
        <v>524</v>
      </c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Z115" s="26" t="s">
        <v>42</v>
      </c>
      <c r="AA115" s="26" t="s">
        <v>42</v>
      </c>
      <c r="AB115" s="26" t="s">
        <v>42</v>
      </c>
      <c r="AD115" s="26"/>
      <c r="AE115" s="26"/>
      <c r="AF115" s="26"/>
      <c r="AG115" s="26"/>
      <c r="AH115" s="26"/>
      <c r="AI115" s="26"/>
    </row>
    <row r="116" spans="1:35" x14ac:dyDescent="0.25">
      <c r="A116" s="20" t="s">
        <v>523</v>
      </c>
      <c r="B116" s="21" t="s">
        <v>522</v>
      </c>
      <c r="D116" s="26" t="s">
        <v>42</v>
      </c>
      <c r="E116" s="26" t="s">
        <v>42</v>
      </c>
      <c r="F116" s="26" t="s">
        <v>42</v>
      </c>
      <c r="G116" s="60" t="s">
        <v>42</v>
      </c>
      <c r="H116" s="26" t="s">
        <v>42</v>
      </c>
      <c r="I116" s="26" t="s">
        <v>42</v>
      </c>
      <c r="J116" s="26" t="s">
        <v>42</v>
      </c>
      <c r="K116" s="26" t="s">
        <v>42</v>
      </c>
      <c r="L116" s="26" t="s">
        <v>42</v>
      </c>
      <c r="M116" s="60" t="s">
        <v>42</v>
      </c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Z116" s="26" t="s">
        <v>42</v>
      </c>
      <c r="AA116" s="26" t="s">
        <v>42</v>
      </c>
      <c r="AB116" s="26" t="s">
        <v>42</v>
      </c>
      <c r="AD116" s="26"/>
      <c r="AE116" s="26"/>
      <c r="AF116" s="26"/>
      <c r="AG116" s="26"/>
      <c r="AH116" s="26"/>
      <c r="AI116" s="26"/>
    </row>
    <row r="117" spans="1:35" x14ac:dyDescent="0.25">
      <c r="A117" s="20" t="s">
        <v>521</v>
      </c>
      <c r="B117" s="21" t="s">
        <v>520</v>
      </c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Z117" s="26" t="s">
        <v>42</v>
      </c>
      <c r="AA117" s="26" t="s">
        <v>42</v>
      </c>
      <c r="AB117" s="26" t="s">
        <v>42</v>
      </c>
      <c r="AD117" s="26"/>
      <c r="AE117" s="26"/>
      <c r="AF117" s="26"/>
      <c r="AG117" s="26"/>
      <c r="AH117" s="26"/>
      <c r="AI117" s="26"/>
    </row>
    <row r="118" spans="1:35" x14ac:dyDescent="0.25">
      <c r="A118" s="20" t="s">
        <v>519</v>
      </c>
      <c r="B118" s="21" t="s">
        <v>518</v>
      </c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Z118" s="26" t="s">
        <v>42</v>
      </c>
      <c r="AA118" s="26" t="s">
        <v>42</v>
      </c>
      <c r="AB118" s="26" t="s">
        <v>42</v>
      </c>
      <c r="AD118" s="26"/>
      <c r="AE118" s="26"/>
      <c r="AF118" s="26"/>
      <c r="AG118" s="26"/>
      <c r="AH118" s="26"/>
      <c r="AI118" s="26"/>
    </row>
    <row r="119" spans="1:35" x14ac:dyDescent="0.25">
      <c r="A119" s="20" t="s">
        <v>517</v>
      </c>
      <c r="B119" s="21" t="s">
        <v>516</v>
      </c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Z119" s="26" t="s">
        <v>42</v>
      </c>
      <c r="AA119" s="26" t="s">
        <v>42</v>
      </c>
      <c r="AB119" s="26" t="s">
        <v>42</v>
      </c>
      <c r="AD119" s="26"/>
      <c r="AE119" s="26"/>
      <c r="AF119" s="26"/>
      <c r="AG119" s="26"/>
      <c r="AH119" s="26"/>
      <c r="AI119" s="26"/>
    </row>
    <row r="120" spans="1:35" x14ac:dyDescent="0.25">
      <c r="A120" s="20" t="s">
        <v>515</v>
      </c>
      <c r="B120" s="21" t="s">
        <v>514</v>
      </c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Z120" s="26"/>
      <c r="AA120" s="26"/>
      <c r="AB120" s="26"/>
      <c r="AD120" s="26"/>
      <c r="AE120" s="26"/>
      <c r="AF120" s="26"/>
      <c r="AG120" s="26"/>
      <c r="AH120" s="26"/>
      <c r="AI120" s="26"/>
    </row>
    <row r="121" spans="1:35" x14ac:dyDescent="0.25">
      <c r="A121" s="20" t="s">
        <v>513</v>
      </c>
      <c r="B121" s="21" t="s">
        <v>512</v>
      </c>
      <c r="D121" s="26" t="s">
        <v>42</v>
      </c>
      <c r="E121" s="26" t="s">
        <v>42</v>
      </c>
      <c r="F121" s="26" t="s">
        <v>42</v>
      </c>
      <c r="G121" s="60" t="s">
        <v>42</v>
      </c>
      <c r="H121" s="26" t="s">
        <v>42</v>
      </c>
      <c r="I121" s="26" t="s">
        <v>42</v>
      </c>
      <c r="J121" s="26" t="s">
        <v>42</v>
      </c>
      <c r="K121" s="26" t="s">
        <v>42</v>
      </c>
      <c r="L121" s="26" t="s">
        <v>42</v>
      </c>
      <c r="M121" s="60" t="s">
        <v>42</v>
      </c>
      <c r="O121" s="26" t="s">
        <v>42</v>
      </c>
      <c r="P121" s="26" t="s">
        <v>42</v>
      </c>
      <c r="Q121" s="26" t="s">
        <v>42</v>
      </c>
      <c r="R121" s="26" t="s">
        <v>42</v>
      </c>
      <c r="S121" s="26" t="s">
        <v>42</v>
      </c>
      <c r="T121" s="26" t="s">
        <v>42</v>
      </c>
      <c r="U121" s="26" t="s">
        <v>42</v>
      </c>
      <c r="V121" s="26" t="s">
        <v>42</v>
      </c>
      <c r="W121" s="26" t="s">
        <v>42</v>
      </c>
      <c r="X121" s="26" t="s">
        <v>42</v>
      </c>
      <c r="Z121" s="26"/>
      <c r="AA121" s="26"/>
      <c r="AB121" s="26"/>
      <c r="AD121" s="26"/>
      <c r="AE121" s="26"/>
      <c r="AF121" s="26"/>
      <c r="AG121" s="26"/>
      <c r="AH121" s="26"/>
      <c r="AI121" s="26"/>
    </row>
    <row r="122" spans="1:35" x14ac:dyDescent="0.25">
      <c r="A122" s="20" t="s">
        <v>511</v>
      </c>
      <c r="B122" s="21" t="s">
        <v>510</v>
      </c>
      <c r="O122" s="26" t="s">
        <v>42</v>
      </c>
      <c r="P122" s="26" t="s">
        <v>42</v>
      </c>
      <c r="Q122" s="26" t="s">
        <v>42</v>
      </c>
      <c r="R122" s="26" t="s">
        <v>42</v>
      </c>
      <c r="S122" s="26" t="s">
        <v>42</v>
      </c>
      <c r="T122" s="26" t="s">
        <v>42</v>
      </c>
      <c r="U122" s="26"/>
      <c r="V122" s="26"/>
      <c r="W122" s="26"/>
      <c r="X122" s="26"/>
      <c r="Z122" s="26"/>
      <c r="AA122" s="26"/>
      <c r="AB122" s="26"/>
      <c r="AD122" s="26"/>
      <c r="AE122" s="26"/>
      <c r="AF122" s="26"/>
      <c r="AG122" s="26"/>
      <c r="AH122" s="26"/>
      <c r="AI122" s="26"/>
    </row>
    <row r="123" spans="1:35" x14ac:dyDescent="0.25">
      <c r="A123" s="20" t="s">
        <v>509</v>
      </c>
      <c r="B123" s="21" t="s">
        <v>151</v>
      </c>
      <c r="O123" s="26" t="s">
        <v>42</v>
      </c>
      <c r="P123" s="26" t="s">
        <v>42</v>
      </c>
      <c r="Q123" s="26"/>
      <c r="R123" s="26"/>
      <c r="S123" s="26"/>
      <c r="T123" s="26"/>
      <c r="U123" s="26"/>
      <c r="V123" s="26"/>
      <c r="W123" s="26"/>
      <c r="X123" s="26"/>
      <c r="Z123" s="26"/>
      <c r="AA123" s="26"/>
      <c r="AB123" s="26"/>
      <c r="AD123" s="26"/>
      <c r="AE123" s="26"/>
      <c r="AF123" s="26"/>
      <c r="AG123" s="26"/>
      <c r="AH123" s="26"/>
      <c r="AI123" s="26"/>
    </row>
    <row r="124" spans="1:35" x14ac:dyDescent="0.25">
      <c r="A124" s="20" t="s">
        <v>508</v>
      </c>
      <c r="B124" s="21" t="s">
        <v>153</v>
      </c>
      <c r="O124" s="26" t="s">
        <v>42</v>
      </c>
      <c r="P124" s="26" t="s">
        <v>42</v>
      </c>
      <c r="Q124" s="26" t="s">
        <v>42</v>
      </c>
      <c r="R124" s="26" t="s">
        <v>42</v>
      </c>
      <c r="S124" s="26" t="s">
        <v>42</v>
      </c>
      <c r="T124" s="26" t="s">
        <v>42</v>
      </c>
      <c r="U124" s="26" t="s">
        <v>42</v>
      </c>
      <c r="V124" s="26" t="s">
        <v>42</v>
      </c>
      <c r="W124" s="26" t="s">
        <v>42</v>
      </c>
      <c r="X124" s="26" t="s">
        <v>42</v>
      </c>
      <c r="Z124" s="26"/>
      <c r="AA124" s="26"/>
      <c r="AB124" s="26"/>
      <c r="AD124" s="26"/>
      <c r="AE124" s="26"/>
      <c r="AF124" s="26"/>
      <c r="AG124" s="26"/>
      <c r="AH124" s="26"/>
      <c r="AI124" s="26"/>
    </row>
    <row r="125" spans="1:35" x14ac:dyDescent="0.25">
      <c r="A125" s="20" t="s">
        <v>507</v>
      </c>
      <c r="B125" s="21" t="s">
        <v>506</v>
      </c>
      <c r="O125" s="26" t="s">
        <v>42</v>
      </c>
      <c r="P125" s="26" t="s">
        <v>42</v>
      </c>
      <c r="Q125" s="26" t="s">
        <v>42</v>
      </c>
      <c r="R125" s="26" t="s">
        <v>42</v>
      </c>
      <c r="S125" s="26" t="s">
        <v>42</v>
      </c>
      <c r="T125" s="26" t="s">
        <v>42</v>
      </c>
      <c r="U125" s="26" t="s">
        <v>42</v>
      </c>
      <c r="V125" s="26" t="s">
        <v>42</v>
      </c>
      <c r="W125" s="26" t="s">
        <v>42</v>
      </c>
      <c r="X125" s="26" t="s">
        <v>42</v>
      </c>
      <c r="Z125" s="26"/>
      <c r="AA125" s="26"/>
      <c r="AB125" s="26"/>
      <c r="AD125" s="26"/>
      <c r="AE125" s="26"/>
      <c r="AF125" s="26"/>
      <c r="AG125" s="26"/>
      <c r="AH125" s="26"/>
      <c r="AI125" s="26"/>
    </row>
    <row r="126" spans="1:35" ht="30" x14ac:dyDescent="0.25">
      <c r="A126" s="20" t="s">
        <v>505</v>
      </c>
      <c r="B126" s="27" t="s">
        <v>504</v>
      </c>
      <c r="O126" s="26" t="s">
        <v>42</v>
      </c>
      <c r="P126" s="26" t="s">
        <v>42</v>
      </c>
      <c r="Q126" s="26" t="s">
        <v>42</v>
      </c>
      <c r="R126" s="26" t="s">
        <v>42</v>
      </c>
      <c r="S126" s="26" t="s">
        <v>42</v>
      </c>
      <c r="T126" s="26" t="s">
        <v>42</v>
      </c>
      <c r="U126" s="26"/>
      <c r="V126" s="26"/>
      <c r="W126" s="26"/>
      <c r="X126" s="26"/>
      <c r="Z126" s="26"/>
      <c r="AA126" s="26"/>
      <c r="AB126" s="26"/>
      <c r="AD126" s="26"/>
      <c r="AE126" s="26"/>
      <c r="AF126" s="26"/>
      <c r="AG126" s="26"/>
      <c r="AH126" s="26"/>
      <c r="AI126" s="26"/>
    </row>
    <row r="127" spans="1:35" x14ac:dyDescent="0.25">
      <c r="A127" s="20" t="s">
        <v>503</v>
      </c>
      <c r="B127" s="21" t="s">
        <v>502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Z127" s="26"/>
      <c r="AA127" s="26"/>
      <c r="AB127" s="26"/>
      <c r="AD127" s="26"/>
      <c r="AE127" s="26"/>
      <c r="AF127" s="26"/>
      <c r="AG127" s="26"/>
      <c r="AH127" s="26"/>
      <c r="AI127" s="26"/>
    </row>
    <row r="128" spans="1:35" x14ac:dyDescent="0.25">
      <c r="A128" s="20" t="s">
        <v>501</v>
      </c>
      <c r="B128" s="21" t="s">
        <v>500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Z128" s="26" t="s">
        <v>42</v>
      </c>
      <c r="AA128" s="26" t="s">
        <v>42</v>
      </c>
      <c r="AB128" s="26" t="s">
        <v>42</v>
      </c>
      <c r="AD128" s="26"/>
      <c r="AE128" s="26"/>
      <c r="AF128" s="26"/>
      <c r="AG128" s="26"/>
      <c r="AH128" s="26"/>
      <c r="AI128" s="26"/>
    </row>
    <row r="129" spans="1:35" ht="30" x14ac:dyDescent="0.25">
      <c r="A129" s="20" t="s">
        <v>499</v>
      </c>
      <c r="B129" s="33" t="s">
        <v>498</v>
      </c>
      <c r="C129" s="21" t="s">
        <v>497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Z129" s="26" t="s">
        <v>42</v>
      </c>
      <c r="AA129" s="26" t="s">
        <v>42</v>
      </c>
      <c r="AB129" s="26" t="s">
        <v>42</v>
      </c>
      <c r="AD129" s="26"/>
      <c r="AE129" s="26"/>
      <c r="AF129" s="26"/>
      <c r="AG129" s="26"/>
      <c r="AH129" s="26"/>
      <c r="AI129" s="26"/>
    </row>
    <row r="130" spans="1:35" ht="30" x14ac:dyDescent="0.25">
      <c r="A130" s="20" t="s">
        <v>496</v>
      </c>
      <c r="B130" s="33" t="s">
        <v>495</v>
      </c>
      <c r="C130" s="21" t="s">
        <v>494</v>
      </c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Z130" s="26" t="s">
        <v>42</v>
      </c>
      <c r="AA130" s="26" t="s">
        <v>42</v>
      </c>
      <c r="AB130" s="26" t="s">
        <v>42</v>
      </c>
      <c r="AD130" s="26"/>
      <c r="AE130" s="26"/>
      <c r="AF130" s="26"/>
      <c r="AG130" s="26"/>
      <c r="AH130" s="26"/>
      <c r="AI130" s="26"/>
    </row>
    <row r="131" spans="1:35" ht="45" x14ac:dyDescent="0.25">
      <c r="A131" s="20" t="s">
        <v>493</v>
      </c>
      <c r="B131" s="33" t="s">
        <v>492</v>
      </c>
      <c r="C131" s="21" t="s">
        <v>491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Z131" s="26" t="s">
        <v>42</v>
      </c>
      <c r="AA131" s="26" t="s">
        <v>42</v>
      </c>
      <c r="AB131" s="26" t="s">
        <v>42</v>
      </c>
      <c r="AD131" s="26"/>
      <c r="AE131" s="26"/>
      <c r="AF131" s="26"/>
      <c r="AG131" s="26"/>
      <c r="AH131" s="26"/>
      <c r="AI131" s="26"/>
    </row>
    <row r="132" spans="1:35" ht="30" x14ac:dyDescent="0.25">
      <c r="A132" s="20" t="s">
        <v>490</v>
      </c>
      <c r="B132" s="33" t="s">
        <v>489</v>
      </c>
      <c r="C132" s="21" t="s">
        <v>488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Z132" s="26" t="s">
        <v>42</v>
      </c>
      <c r="AA132" s="26" t="s">
        <v>42</v>
      </c>
      <c r="AB132" s="26" t="s">
        <v>42</v>
      </c>
      <c r="AD132" s="26"/>
      <c r="AE132" s="26"/>
      <c r="AF132" s="26"/>
      <c r="AG132" s="26"/>
      <c r="AH132" s="26"/>
      <c r="AI132" s="26"/>
    </row>
    <row r="133" spans="1:35" x14ac:dyDescent="0.25">
      <c r="A133" s="20" t="s">
        <v>487</v>
      </c>
      <c r="B133" s="21" t="s">
        <v>159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Z133" s="26" t="s">
        <v>42</v>
      </c>
      <c r="AA133" s="26" t="s">
        <v>42</v>
      </c>
      <c r="AB133" s="26" t="s">
        <v>42</v>
      </c>
      <c r="AD133" s="26"/>
      <c r="AE133" s="26"/>
      <c r="AF133" s="26"/>
      <c r="AG133" s="26"/>
      <c r="AH133" s="26"/>
      <c r="AI133" s="26"/>
    </row>
    <row r="134" spans="1:35" x14ac:dyDescent="0.25">
      <c r="A134" s="20" t="s">
        <v>486</v>
      </c>
      <c r="B134" s="21" t="s">
        <v>485</v>
      </c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Z134" s="26" t="s">
        <v>42</v>
      </c>
      <c r="AA134" s="26" t="s">
        <v>42</v>
      </c>
      <c r="AB134" s="26" t="s">
        <v>42</v>
      </c>
      <c r="AD134" s="26"/>
      <c r="AE134" s="26"/>
      <c r="AF134" s="26"/>
      <c r="AG134" s="26"/>
      <c r="AH134" s="26"/>
      <c r="AI134" s="26"/>
    </row>
    <row r="135" spans="1:35" x14ac:dyDescent="0.25">
      <c r="A135" s="20" t="s">
        <v>484</v>
      </c>
      <c r="B135" s="21" t="s">
        <v>483</v>
      </c>
      <c r="O135" s="26" t="s">
        <v>42</v>
      </c>
      <c r="P135" s="26" t="s">
        <v>42</v>
      </c>
      <c r="Q135" s="26" t="s">
        <v>42</v>
      </c>
      <c r="R135" s="26" t="s">
        <v>42</v>
      </c>
      <c r="S135" s="26" t="s">
        <v>42</v>
      </c>
      <c r="T135" s="26" t="s">
        <v>42</v>
      </c>
      <c r="U135" s="26"/>
      <c r="V135" s="26"/>
      <c r="W135" s="26"/>
      <c r="X135" s="26"/>
      <c r="Z135" s="26"/>
      <c r="AA135" s="26"/>
      <c r="AB135" s="26"/>
      <c r="AD135" s="26"/>
      <c r="AE135" s="26"/>
      <c r="AF135" s="26"/>
      <c r="AG135" s="26"/>
      <c r="AH135" s="26"/>
      <c r="AI135" s="26"/>
    </row>
    <row r="136" spans="1:35" x14ac:dyDescent="0.25">
      <c r="A136" s="20" t="s">
        <v>482</v>
      </c>
      <c r="B136" s="21" t="s">
        <v>481</v>
      </c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Z136" s="26" t="s">
        <v>42</v>
      </c>
      <c r="AA136" s="26" t="s">
        <v>42</v>
      </c>
      <c r="AB136" s="26" t="s">
        <v>42</v>
      </c>
      <c r="AD136" s="26"/>
      <c r="AE136" s="26"/>
      <c r="AF136" s="26"/>
      <c r="AG136" s="26"/>
      <c r="AH136" s="26"/>
      <c r="AI136" s="26"/>
    </row>
    <row r="137" spans="1:35" ht="30" x14ac:dyDescent="0.25">
      <c r="A137" s="20" t="s">
        <v>480</v>
      </c>
      <c r="B137" s="21" t="s">
        <v>479</v>
      </c>
      <c r="O137" s="26" t="s">
        <v>42</v>
      </c>
      <c r="P137" s="26" t="s">
        <v>42</v>
      </c>
      <c r="Q137" s="26" t="s">
        <v>42</v>
      </c>
      <c r="R137" s="26" t="s">
        <v>42</v>
      </c>
      <c r="S137" s="26" t="s">
        <v>42</v>
      </c>
      <c r="T137" s="26" t="s">
        <v>42</v>
      </c>
      <c r="U137" s="26"/>
      <c r="V137" s="26"/>
      <c r="W137" s="26"/>
      <c r="X137" s="26"/>
      <c r="Z137" s="26"/>
      <c r="AA137" s="26"/>
      <c r="AB137" s="26"/>
      <c r="AD137" s="26"/>
      <c r="AE137" s="26"/>
      <c r="AF137" s="26"/>
      <c r="AG137" s="26"/>
      <c r="AH137" s="26"/>
      <c r="AI137" s="26"/>
    </row>
    <row r="138" spans="1:35" x14ac:dyDescent="0.25">
      <c r="A138" s="20" t="s">
        <v>478</v>
      </c>
      <c r="B138" s="21" t="s">
        <v>477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Z138" s="26" t="s">
        <v>42</v>
      </c>
      <c r="AA138" s="26" t="s">
        <v>42</v>
      </c>
      <c r="AB138" s="26" t="s">
        <v>42</v>
      </c>
      <c r="AD138" s="26"/>
      <c r="AE138" s="26"/>
      <c r="AF138" s="26"/>
      <c r="AG138" s="26"/>
      <c r="AH138" s="26"/>
      <c r="AI138" s="26"/>
    </row>
    <row r="139" spans="1:35" x14ac:dyDescent="0.25">
      <c r="A139" s="20" t="s">
        <v>476</v>
      </c>
      <c r="B139" s="21" t="s">
        <v>475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Z139" s="26"/>
      <c r="AA139" s="26" t="s">
        <v>42</v>
      </c>
      <c r="AB139" s="26" t="s">
        <v>42</v>
      </c>
      <c r="AD139" s="26"/>
      <c r="AE139" s="26"/>
      <c r="AF139" s="26"/>
      <c r="AG139" s="26"/>
      <c r="AH139" s="26"/>
      <c r="AI139" s="26"/>
    </row>
    <row r="140" spans="1:35" x14ac:dyDescent="0.25">
      <c r="A140" s="20" t="s">
        <v>474</v>
      </c>
      <c r="B140" s="21" t="s">
        <v>473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Z140" s="26"/>
      <c r="AA140" s="26" t="s">
        <v>42</v>
      </c>
      <c r="AB140" s="26" t="s">
        <v>42</v>
      </c>
      <c r="AD140" s="26"/>
      <c r="AE140" s="26"/>
      <c r="AF140" s="26"/>
      <c r="AG140" s="26"/>
      <c r="AH140" s="26"/>
      <c r="AI140" s="26"/>
    </row>
    <row r="141" spans="1:35" x14ac:dyDescent="0.25">
      <c r="A141" s="20" t="s">
        <v>472</v>
      </c>
      <c r="B141" s="21" t="s">
        <v>471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Z141" s="26"/>
      <c r="AA141" s="26" t="s">
        <v>42</v>
      </c>
      <c r="AB141" s="26" t="s">
        <v>42</v>
      </c>
      <c r="AD141" s="26"/>
      <c r="AE141" s="26"/>
      <c r="AF141" s="26"/>
      <c r="AG141" s="26"/>
      <c r="AH141" s="26"/>
      <c r="AI141" s="26"/>
    </row>
    <row r="142" spans="1:35" x14ac:dyDescent="0.25">
      <c r="A142" s="18" t="s">
        <v>470</v>
      </c>
      <c r="B142" s="19" t="s">
        <v>469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Z142" s="26"/>
      <c r="AA142" s="26"/>
      <c r="AB142" s="26"/>
      <c r="AD142" s="26"/>
      <c r="AE142" s="26"/>
      <c r="AF142" s="26"/>
      <c r="AG142" s="26"/>
      <c r="AH142" s="26"/>
      <c r="AI142" s="26"/>
    </row>
    <row r="143" spans="1:35" ht="30" x14ac:dyDescent="0.25">
      <c r="A143" s="20" t="s">
        <v>468</v>
      </c>
      <c r="B143" s="21" t="s">
        <v>467</v>
      </c>
      <c r="D143" s="26" t="s">
        <v>82</v>
      </c>
      <c r="E143" s="26" t="s">
        <v>82</v>
      </c>
      <c r="O143" s="26" t="s">
        <v>82</v>
      </c>
      <c r="P143" s="26" t="s">
        <v>82</v>
      </c>
      <c r="Q143" s="26"/>
      <c r="R143" s="26"/>
      <c r="S143" s="26"/>
      <c r="T143" s="26"/>
      <c r="U143" s="26"/>
      <c r="V143" s="26"/>
      <c r="W143" s="26"/>
      <c r="X143" s="26"/>
      <c r="Z143" s="26"/>
      <c r="AA143" s="26"/>
      <c r="AB143" s="26"/>
      <c r="AD143" s="26"/>
      <c r="AE143" s="26"/>
      <c r="AF143" s="26"/>
      <c r="AG143" s="26"/>
      <c r="AH143" s="26"/>
      <c r="AI143" s="26"/>
    </row>
    <row r="144" spans="1:35" ht="30" x14ac:dyDescent="0.25">
      <c r="A144" s="20" t="s">
        <v>466</v>
      </c>
      <c r="B144" s="21" t="s">
        <v>465</v>
      </c>
      <c r="D144" s="26" t="s">
        <v>82</v>
      </c>
      <c r="E144" s="26" t="s">
        <v>82</v>
      </c>
      <c r="O144" s="26" t="s">
        <v>82</v>
      </c>
      <c r="P144" s="26" t="s">
        <v>82</v>
      </c>
      <c r="Q144" s="26"/>
      <c r="R144" s="26"/>
      <c r="S144" s="26"/>
      <c r="T144" s="26"/>
      <c r="U144" s="26"/>
      <c r="V144" s="26"/>
      <c r="W144" s="26"/>
      <c r="X144" s="26"/>
      <c r="Z144" s="26"/>
      <c r="AA144" s="26"/>
      <c r="AB144" s="26"/>
      <c r="AD144" s="26"/>
      <c r="AE144" s="26"/>
      <c r="AF144" s="26"/>
      <c r="AG144" s="26"/>
      <c r="AH144" s="26"/>
      <c r="AI144" s="26"/>
    </row>
    <row r="145" spans="1:35" ht="30" x14ac:dyDescent="0.25">
      <c r="A145" s="20" t="s">
        <v>464</v>
      </c>
      <c r="B145" s="21" t="s">
        <v>463</v>
      </c>
      <c r="D145" s="26" t="s">
        <v>82</v>
      </c>
      <c r="E145" s="26" t="s">
        <v>82</v>
      </c>
      <c r="O145" s="26" t="s">
        <v>82</v>
      </c>
      <c r="P145" s="26" t="s">
        <v>82</v>
      </c>
      <c r="Q145" s="26"/>
      <c r="R145" s="26"/>
      <c r="S145" s="26"/>
      <c r="T145" s="26"/>
      <c r="U145" s="26"/>
      <c r="V145" s="26"/>
      <c r="W145" s="26"/>
      <c r="X145" s="26"/>
      <c r="Z145" s="26"/>
      <c r="AA145" s="26"/>
      <c r="AB145" s="26"/>
      <c r="AD145" s="26"/>
      <c r="AE145" s="26"/>
      <c r="AF145" s="26"/>
      <c r="AG145" s="26"/>
      <c r="AH145" s="26"/>
      <c r="AI145" s="26"/>
    </row>
    <row r="146" spans="1:35" ht="30" x14ac:dyDescent="0.25">
      <c r="A146" s="20" t="s">
        <v>462</v>
      </c>
      <c r="B146" s="21" t="s">
        <v>461</v>
      </c>
      <c r="D146" s="26" t="s">
        <v>82</v>
      </c>
      <c r="E146" s="26" t="s">
        <v>82</v>
      </c>
      <c r="O146" s="26" t="s">
        <v>82</v>
      </c>
      <c r="P146" s="26" t="s">
        <v>82</v>
      </c>
      <c r="Q146" s="26"/>
      <c r="R146" s="26"/>
      <c r="S146" s="26"/>
      <c r="T146" s="26"/>
      <c r="U146" s="26"/>
      <c r="V146" s="26"/>
      <c r="W146" s="26"/>
      <c r="X146" s="26"/>
      <c r="Z146" s="26"/>
      <c r="AA146" s="26"/>
      <c r="AB146" s="26"/>
      <c r="AD146" s="26"/>
      <c r="AE146" s="26"/>
      <c r="AF146" s="26"/>
      <c r="AG146" s="26"/>
      <c r="AH146" s="26"/>
      <c r="AI146" s="26"/>
    </row>
    <row r="147" spans="1:35" x14ac:dyDescent="0.25">
      <c r="A147" s="18" t="s">
        <v>460</v>
      </c>
      <c r="B147" s="19" t="s">
        <v>459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Z147" s="26"/>
      <c r="AA147" s="26"/>
      <c r="AB147" s="26"/>
      <c r="AD147" s="26"/>
      <c r="AE147" s="26"/>
      <c r="AF147" s="26"/>
      <c r="AG147" s="26"/>
      <c r="AH147" s="26"/>
      <c r="AI147" s="26"/>
    </row>
    <row r="148" spans="1:35" ht="30" x14ac:dyDescent="0.25">
      <c r="A148" s="20" t="s">
        <v>458</v>
      </c>
      <c r="B148" s="21" t="s">
        <v>457</v>
      </c>
      <c r="D148" s="26" t="s">
        <v>42</v>
      </c>
      <c r="E148" s="26" t="s">
        <v>42</v>
      </c>
      <c r="F148" s="26" t="s">
        <v>42</v>
      </c>
      <c r="G148" s="60" t="s">
        <v>42</v>
      </c>
      <c r="H148" s="26" t="s">
        <v>42</v>
      </c>
      <c r="I148" s="26" t="s">
        <v>42</v>
      </c>
      <c r="O148" s="26" t="s">
        <v>42</v>
      </c>
      <c r="P148" s="26" t="s">
        <v>42</v>
      </c>
      <c r="Q148" s="26" t="s">
        <v>42</v>
      </c>
      <c r="R148" s="26" t="s">
        <v>42</v>
      </c>
      <c r="S148" s="26" t="s">
        <v>42</v>
      </c>
      <c r="T148" s="26" t="s">
        <v>42</v>
      </c>
      <c r="U148" s="26"/>
      <c r="V148" s="26"/>
      <c r="W148" s="26"/>
      <c r="X148" s="26"/>
      <c r="Z148" s="26" t="s">
        <v>42</v>
      </c>
      <c r="AA148" s="26" t="s">
        <v>42</v>
      </c>
      <c r="AB148" s="26"/>
      <c r="AD148" s="26"/>
      <c r="AE148" s="26"/>
      <c r="AF148" s="26"/>
      <c r="AG148" s="26"/>
      <c r="AH148" s="26"/>
      <c r="AI148" s="26"/>
    </row>
    <row r="149" spans="1:35" ht="30" x14ac:dyDescent="0.25">
      <c r="A149" s="20" t="s">
        <v>456</v>
      </c>
      <c r="B149" s="21" t="s">
        <v>455</v>
      </c>
      <c r="C149" s="13" t="s">
        <v>123</v>
      </c>
      <c r="D149" s="26" t="s">
        <v>42</v>
      </c>
      <c r="O149" s="26" t="s">
        <v>42</v>
      </c>
      <c r="P149" s="26"/>
      <c r="Q149" s="26"/>
      <c r="R149" s="26"/>
      <c r="S149" s="26"/>
      <c r="T149" s="26"/>
      <c r="U149" s="26"/>
      <c r="V149" s="26"/>
      <c r="W149" s="26"/>
      <c r="X149" s="26"/>
      <c r="Z149" s="26" t="s">
        <v>42</v>
      </c>
      <c r="AA149" s="26"/>
      <c r="AB149" s="26"/>
      <c r="AD149" s="26"/>
      <c r="AE149" s="26"/>
      <c r="AF149" s="26"/>
      <c r="AG149" s="26"/>
      <c r="AH149" s="26"/>
      <c r="AI149" s="26"/>
    </row>
    <row r="150" spans="1:35" ht="30" x14ac:dyDescent="0.25">
      <c r="A150" s="20" t="s">
        <v>454</v>
      </c>
      <c r="B150" s="21" t="s">
        <v>453</v>
      </c>
      <c r="C150" s="13" t="s">
        <v>123</v>
      </c>
      <c r="D150" s="26" t="s">
        <v>42</v>
      </c>
      <c r="O150" s="26" t="s">
        <v>42</v>
      </c>
      <c r="P150" s="26"/>
      <c r="Q150" s="26"/>
      <c r="R150" s="26"/>
      <c r="S150" s="26"/>
      <c r="T150" s="26"/>
      <c r="U150" s="26"/>
      <c r="V150" s="26"/>
      <c r="W150" s="26"/>
      <c r="X150" s="26"/>
      <c r="Z150" s="26" t="s">
        <v>42</v>
      </c>
      <c r="AA150" s="26"/>
      <c r="AB150" s="26"/>
      <c r="AD150" s="26"/>
      <c r="AE150" s="26"/>
      <c r="AF150" s="26"/>
      <c r="AG150" s="26"/>
      <c r="AH150" s="26"/>
      <c r="AI150" s="26"/>
    </row>
    <row r="151" spans="1:35" ht="30" x14ac:dyDescent="0.25">
      <c r="A151" s="20" t="s">
        <v>452</v>
      </c>
      <c r="B151" s="21" t="s">
        <v>451</v>
      </c>
      <c r="D151" s="26" t="s">
        <v>42</v>
      </c>
      <c r="E151" s="26" t="s">
        <v>42</v>
      </c>
      <c r="F151" s="26" t="s">
        <v>42</v>
      </c>
      <c r="G151" s="60" t="s">
        <v>42</v>
      </c>
      <c r="H151" s="26" t="s">
        <v>42</v>
      </c>
      <c r="I151" s="26" t="s">
        <v>42</v>
      </c>
      <c r="J151" s="26" t="s">
        <v>42</v>
      </c>
      <c r="K151" s="26" t="s">
        <v>42</v>
      </c>
      <c r="L151" s="26" t="s">
        <v>42</v>
      </c>
      <c r="M151" s="60" t="s">
        <v>42</v>
      </c>
      <c r="O151" s="26" t="s">
        <v>42</v>
      </c>
      <c r="P151" s="26" t="s">
        <v>42</v>
      </c>
      <c r="Q151" s="26" t="s">
        <v>42</v>
      </c>
      <c r="R151" s="26" t="s">
        <v>42</v>
      </c>
      <c r="S151" s="26" t="s">
        <v>42</v>
      </c>
      <c r="T151" s="26" t="s">
        <v>42</v>
      </c>
      <c r="U151" s="26" t="s">
        <v>42</v>
      </c>
      <c r="V151" s="26" t="s">
        <v>42</v>
      </c>
      <c r="W151" s="26" t="s">
        <v>42</v>
      </c>
      <c r="X151" s="26" t="s">
        <v>42</v>
      </c>
      <c r="Z151" s="26" t="s">
        <v>42</v>
      </c>
      <c r="AA151" s="26" t="s">
        <v>42</v>
      </c>
      <c r="AB151" s="26" t="s">
        <v>42</v>
      </c>
      <c r="AD151" s="26"/>
      <c r="AE151" s="26"/>
      <c r="AF151" s="26"/>
      <c r="AG151" s="26"/>
      <c r="AH151" s="26"/>
      <c r="AI151" s="26"/>
    </row>
    <row r="152" spans="1:35" x14ac:dyDescent="0.25">
      <c r="A152" s="18" t="s">
        <v>450</v>
      </c>
      <c r="B152" s="19" t="s">
        <v>449</v>
      </c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Z152" s="26"/>
      <c r="AA152" s="26"/>
      <c r="AB152" s="26"/>
      <c r="AD152" s="26"/>
      <c r="AE152" s="26"/>
      <c r="AF152" s="26"/>
      <c r="AG152" s="26"/>
      <c r="AH152" s="26"/>
      <c r="AI152" s="26"/>
    </row>
    <row r="153" spans="1:35" x14ac:dyDescent="0.25">
      <c r="A153" s="20" t="s">
        <v>448</v>
      </c>
      <c r="B153" s="21" t="s">
        <v>414</v>
      </c>
      <c r="E153" s="26" t="s">
        <v>42</v>
      </c>
      <c r="F153" s="26" t="s">
        <v>42</v>
      </c>
      <c r="G153" s="60" t="s">
        <v>42</v>
      </c>
      <c r="H153" s="26" t="s">
        <v>42</v>
      </c>
      <c r="I153" s="26" t="s">
        <v>42</v>
      </c>
      <c r="J153" s="26" t="s">
        <v>42</v>
      </c>
      <c r="K153" s="26" t="s">
        <v>42</v>
      </c>
      <c r="L153" s="26" t="s">
        <v>42</v>
      </c>
      <c r="O153" s="26"/>
      <c r="P153" s="26" t="s">
        <v>42</v>
      </c>
      <c r="Q153" s="26" t="s">
        <v>42</v>
      </c>
      <c r="R153" s="26" t="s">
        <v>42</v>
      </c>
      <c r="S153" s="26" t="s">
        <v>42</v>
      </c>
      <c r="T153" s="26" t="s">
        <v>42</v>
      </c>
      <c r="U153" s="26" t="s">
        <v>42</v>
      </c>
      <c r="V153" s="26" t="s">
        <v>42</v>
      </c>
      <c r="W153" s="26" t="s">
        <v>42</v>
      </c>
      <c r="X153" s="26"/>
      <c r="Z153" s="26"/>
      <c r="AA153" s="26"/>
      <c r="AB153" s="26"/>
      <c r="AD153" s="26"/>
      <c r="AE153" s="26"/>
      <c r="AF153" s="26"/>
      <c r="AG153" s="26"/>
      <c r="AH153" s="26"/>
      <c r="AI153" s="26"/>
    </row>
    <row r="154" spans="1:35" x14ac:dyDescent="0.25">
      <c r="A154" s="20" t="s">
        <v>447</v>
      </c>
      <c r="B154" s="21" t="s">
        <v>378</v>
      </c>
      <c r="E154" s="26" t="s">
        <v>42</v>
      </c>
      <c r="F154" s="26" t="s">
        <v>42</v>
      </c>
      <c r="G154" s="60" t="s">
        <v>42</v>
      </c>
      <c r="H154" s="26" t="s">
        <v>42</v>
      </c>
      <c r="I154" s="26" t="s">
        <v>42</v>
      </c>
      <c r="J154" s="26" t="s">
        <v>42</v>
      </c>
      <c r="K154" s="26" t="s">
        <v>42</v>
      </c>
      <c r="L154" s="26" t="s">
        <v>42</v>
      </c>
      <c r="O154" s="26"/>
      <c r="P154" s="26" t="s">
        <v>42</v>
      </c>
      <c r="Q154" s="26" t="s">
        <v>42</v>
      </c>
      <c r="R154" s="26" t="s">
        <v>42</v>
      </c>
      <c r="S154" s="26" t="s">
        <v>42</v>
      </c>
      <c r="T154" s="26" t="s">
        <v>42</v>
      </c>
      <c r="U154" s="26" t="s">
        <v>42</v>
      </c>
      <c r="V154" s="26" t="s">
        <v>42</v>
      </c>
      <c r="W154" s="26" t="s">
        <v>42</v>
      </c>
      <c r="X154" s="26"/>
      <c r="Z154" s="26"/>
      <c r="AA154" s="26"/>
      <c r="AB154" s="26"/>
      <c r="AD154" s="26"/>
      <c r="AE154" s="26"/>
      <c r="AF154" s="26"/>
      <c r="AG154" s="26"/>
      <c r="AH154" s="26"/>
      <c r="AI154" s="26"/>
    </row>
    <row r="155" spans="1:35" x14ac:dyDescent="0.25">
      <c r="A155" s="20" t="s">
        <v>446</v>
      </c>
      <c r="B155" s="21" t="s">
        <v>445</v>
      </c>
      <c r="E155" s="26" t="s">
        <v>42</v>
      </c>
      <c r="F155" s="26" t="s">
        <v>42</v>
      </c>
      <c r="G155" s="60" t="s">
        <v>42</v>
      </c>
      <c r="H155" s="26" t="s">
        <v>42</v>
      </c>
      <c r="I155" s="26" t="s">
        <v>42</v>
      </c>
      <c r="J155" s="26" t="s">
        <v>42</v>
      </c>
      <c r="K155" s="26" t="s">
        <v>42</v>
      </c>
      <c r="L155" s="26" t="s">
        <v>42</v>
      </c>
      <c r="O155" s="26"/>
      <c r="P155" s="26" t="s">
        <v>42</v>
      </c>
      <c r="Q155" s="26" t="s">
        <v>42</v>
      </c>
      <c r="R155" s="26" t="s">
        <v>42</v>
      </c>
      <c r="S155" s="26" t="s">
        <v>42</v>
      </c>
      <c r="T155" s="26" t="s">
        <v>42</v>
      </c>
      <c r="U155" s="26" t="s">
        <v>42</v>
      </c>
      <c r="V155" s="26" t="s">
        <v>42</v>
      </c>
      <c r="W155" s="26" t="s">
        <v>42</v>
      </c>
      <c r="X155" s="26"/>
      <c r="Z155" s="26"/>
      <c r="AA155" s="26"/>
      <c r="AB155" s="26"/>
      <c r="AD155" s="26"/>
      <c r="AE155" s="26"/>
      <c r="AF155" s="26"/>
      <c r="AG155" s="26"/>
      <c r="AH155" s="26"/>
      <c r="AI155" s="26"/>
    </row>
    <row r="156" spans="1:35" x14ac:dyDescent="0.25">
      <c r="A156" s="20" t="s">
        <v>444</v>
      </c>
      <c r="B156" s="21" t="s">
        <v>443</v>
      </c>
      <c r="E156" s="26" t="s">
        <v>42</v>
      </c>
      <c r="F156" s="26" t="s">
        <v>42</v>
      </c>
      <c r="G156" s="60" t="s">
        <v>42</v>
      </c>
      <c r="H156" s="26" t="s">
        <v>42</v>
      </c>
      <c r="I156" s="26" t="s">
        <v>42</v>
      </c>
      <c r="J156" s="26" t="s">
        <v>42</v>
      </c>
      <c r="K156" s="26" t="s">
        <v>42</v>
      </c>
      <c r="L156" s="26" t="s">
        <v>42</v>
      </c>
      <c r="O156" s="26"/>
      <c r="P156" s="26" t="s">
        <v>42</v>
      </c>
      <c r="Q156" s="26" t="s">
        <v>42</v>
      </c>
      <c r="R156" s="26" t="s">
        <v>42</v>
      </c>
      <c r="S156" s="26" t="s">
        <v>42</v>
      </c>
      <c r="T156" s="26" t="s">
        <v>42</v>
      </c>
      <c r="U156" s="26" t="s">
        <v>42</v>
      </c>
      <c r="V156" s="26" t="s">
        <v>42</v>
      </c>
      <c r="W156" s="26" t="s">
        <v>42</v>
      </c>
      <c r="X156" s="26"/>
      <c r="Z156" s="26"/>
      <c r="AA156" s="26"/>
      <c r="AB156" s="26"/>
      <c r="AD156" s="26"/>
      <c r="AE156" s="26"/>
      <c r="AF156" s="26"/>
      <c r="AG156" s="26"/>
      <c r="AH156" s="26"/>
      <c r="AI156" s="26"/>
    </row>
    <row r="157" spans="1:35" x14ac:dyDescent="0.25">
      <c r="A157" s="71" t="s">
        <v>442</v>
      </c>
      <c r="B157" s="70" t="s">
        <v>441</v>
      </c>
      <c r="E157" s="26" t="s">
        <v>42</v>
      </c>
      <c r="F157" s="26" t="s">
        <v>42</v>
      </c>
      <c r="G157" s="60" t="s">
        <v>42</v>
      </c>
      <c r="H157" s="26" t="s">
        <v>42</v>
      </c>
      <c r="I157" s="26" t="s">
        <v>42</v>
      </c>
      <c r="J157" s="26" t="s">
        <v>42</v>
      </c>
      <c r="K157" s="26" t="s">
        <v>42</v>
      </c>
      <c r="L157" s="26" t="s">
        <v>42</v>
      </c>
      <c r="O157" s="26"/>
      <c r="P157" s="26" t="s">
        <v>42</v>
      </c>
      <c r="Q157" s="26" t="s">
        <v>42</v>
      </c>
      <c r="R157" s="26" t="s">
        <v>42</v>
      </c>
      <c r="S157" s="26" t="s">
        <v>42</v>
      </c>
      <c r="T157" s="26" t="s">
        <v>42</v>
      </c>
      <c r="U157" s="26" t="s">
        <v>42</v>
      </c>
      <c r="V157" s="26" t="s">
        <v>42</v>
      </c>
      <c r="W157" s="26" t="s">
        <v>42</v>
      </c>
      <c r="X157" s="26"/>
      <c r="Z157" s="26"/>
      <c r="AA157" s="26"/>
      <c r="AB157" s="26"/>
      <c r="AD157" s="26"/>
      <c r="AE157" s="26"/>
      <c r="AF157" s="26"/>
      <c r="AG157" s="26"/>
      <c r="AH157" s="26"/>
      <c r="AI157" s="26"/>
    </row>
    <row r="158" spans="1:35" x14ac:dyDescent="0.25">
      <c r="A158" s="20" t="s">
        <v>440</v>
      </c>
      <c r="B158" s="21" t="s">
        <v>439</v>
      </c>
      <c r="E158" s="26" t="s">
        <v>42</v>
      </c>
      <c r="F158" s="26" t="s">
        <v>42</v>
      </c>
      <c r="G158" s="60" t="s">
        <v>42</v>
      </c>
      <c r="H158" s="26" t="s">
        <v>42</v>
      </c>
      <c r="I158" s="26" t="s">
        <v>42</v>
      </c>
      <c r="J158" s="26" t="s">
        <v>42</v>
      </c>
      <c r="K158" s="26" t="s">
        <v>42</v>
      </c>
      <c r="L158" s="26" t="s">
        <v>42</v>
      </c>
      <c r="O158" s="26"/>
      <c r="P158" s="26" t="s">
        <v>42</v>
      </c>
      <c r="Q158" s="26" t="s">
        <v>42</v>
      </c>
      <c r="R158" s="26" t="s">
        <v>42</v>
      </c>
      <c r="S158" s="26" t="s">
        <v>42</v>
      </c>
      <c r="T158" s="26" t="s">
        <v>42</v>
      </c>
      <c r="U158" s="26" t="s">
        <v>42</v>
      </c>
      <c r="V158" s="26" t="s">
        <v>42</v>
      </c>
      <c r="W158" s="26" t="s">
        <v>42</v>
      </c>
      <c r="X158" s="26"/>
      <c r="Z158" s="26"/>
      <c r="AA158" s="26"/>
      <c r="AB158" s="26"/>
      <c r="AD158" s="26"/>
      <c r="AE158" s="26"/>
      <c r="AF158" s="26"/>
      <c r="AG158" s="26"/>
      <c r="AH158" s="26"/>
      <c r="AI158" s="26"/>
    </row>
    <row r="159" spans="1:35" x14ac:dyDescent="0.25">
      <c r="A159" s="20" t="s">
        <v>438</v>
      </c>
      <c r="B159" s="21" t="s">
        <v>411</v>
      </c>
      <c r="E159" s="26" t="s">
        <v>42</v>
      </c>
      <c r="F159" s="26" t="s">
        <v>42</v>
      </c>
      <c r="G159" s="60" t="s">
        <v>42</v>
      </c>
      <c r="H159" s="26" t="s">
        <v>42</v>
      </c>
      <c r="I159" s="26" t="s">
        <v>42</v>
      </c>
      <c r="J159" s="26" t="s">
        <v>42</v>
      </c>
      <c r="K159" s="26" t="s">
        <v>42</v>
      </c>
      <c r="L159" s="26" t="s">
        <v>42</v>
      </c>
      <c r="O159" s="26"/>
      <c r="P159" s="26" t="s">
        <v>42</v>
      </c>
      <c r="Q159" s="26" t="s">
        <v>42</v>
      </c>
      <c r="R159" s="26" t="s">
        <v>42</v>
      </c>
      <c r="S159" s="26" t="s">
        <v>42</v>
      </c>
      <c r="T159" s="26" t="s">
        <v>42</v>
      </c>
      <c r="U159" s="26" t="s">
        <v>42</v>
      </c>
      <c r="V159" s="26" t="s">
        <v>42</v>
      </c>
      <c r="W159" s="26" t="s">
        <v>42</v>
      </c>
      <c r="X159" s="26"/>
      <c r="Z159" s="26"/>
      <c r="AA159" s="26"/>
      <c r="AB159" s="26"/>
      <c r="AD159" s="26"/>
      <c r="AE159" s="26"/>
      <c r="AF159" s="26"/>
      <c r="AG159" s="26"/>
      <c r="AH159" s="26"/>
      <c r="AI159" s="26"/>
    </row>
    <row r="160" spans="1:35" x14ac:dyDescent="0.25">
      <c r="A160" s="20" t="s">
        <v>437</v>
      </c>
      <c r="B160" s="21" t="s">
        <v>409</v>
      </c>
      <c r="E160" s="26" t="s">
        <v>42</v>
      </c>
      <c r="F160" s="26" t="s">
        <v>42</v>
      </c>
      <c r="G160" s="60" t="s">
        <v>42</v>
      </c>
      <c r="H160" s="26" t="s">
        <v>42</v>
      </c>
      <c r="I160" s="26" t="s">
        <v>42</v>
      </c>
      <c r="J160" s="26" t="s">
        <v>42</v>
      </c>
      <c r="K160" s="26" t="s">
        <v>42</v>
      </c>
      <c r="L160" s="26" t="s">
        <v>42</v>
      </c>
      <c r="O160" s="26"/>
      <c r="P160" s="26" t="s">
        <v>42</v>
      </c>
      <c r="Q160" s="26" t="s">
        <v>42</v>
      </c>
      <c r="R160" s="26" t="s">
        <v>42</v>
      </c>
      <c r="S160" s="26" t="s">
        <v>42</v>
      </c>
      <c r="T160" s="26" t="s">
        <v>42</v>
      </c>
      <c r="U160" s="26" t="s">
        <v>42</v>
      </c>
      <c r="V160" s="26" t="s">
        <v>42</v>
      </c>
      <c r="W160" s="26" t="s">
        <v>42</v>
      </c>
      <c r="X160" s="26"/>
      <c r="Z160" s="26"/>
      <c r="AA160" s="26"/>
      <c r="AB160" s="26"/>
      <c r="AD160" s="26"/>
      <c r="AE160" s="26"/>
      <c r="AF160" s="26"/>
      <c r="AG160" s="26"/>
      <c r="AH160" s="26"/>
      <c r="AI160" s="26"/>
    </row>
    <row r="161" spans="1:35" ht="30" x14ac:dyDescent="0.25">
      <c r="A161" s="20" t="s">
        <v>436</v>
      </c>
      <c r="B161" s="21" t="s">
        <v>435</v>
      </c>
      <c r="E161" s="26" t="s">
        <v>42</v>
      </c>
      <c r="F161" s="26" t="s">
        <v>42</v>
      </c>
      <c r="G161" s="60" t="s">
        <v>42</v>
      </c>
      <c r="H161" s="26" t="s">
        <v>42</v>
      </c>
      <c r="I161" s="26" t="s">
        <v>42</v>
      </c>
      <c r="J161" s="26" t="s">
        <v>42</v>
      </c>
      <c r="K161" s="26" t="s">
        <v>42</v>
      </c>
      <c r="L161" s="26" t="s">
        <v>42</v>
      </c>
      <c r="O161" s="26"/>
      <c r="P161" s="26" t="s">
        <v>42</v>
      </c>
      <c r="Q161" s="26" t="s">
        <v>42</v>
      </c>
      <c r="R161" s="26" t="s">
        <v>42</v>
      </c>
      <c r="S161" s="26" t="s">
        <v>42</v>
      </c>
      <c r="T161" s="26" t="s">
        <v>42</v>
      </c>
      <c r="U161" s="26" t="s">
        <v>42</v>
      </c>
      <c r="V161" s="26" t="s">
        <v>42</v>
      </c>
      <c r="W161" s="26" t="s">
        <v>42</v>
      </c>
      <c r="X161" s="26"/>
      <c r="Z161" s="26"/>
      <c r="AA161" s="26"/>
      <c r="AB161" s="26"/>
      <c r="AD161" s="26"/>
      <c r="AE161" s="26"/>
      <c r="AF161" s="26"/>
      <c r="AG161" s="26"/>
      <c r="AH161" s="26"/>
      <c r="AI161" s="26"/>
    </row>
    <row r="162" spans="1:35" ht="30" x14ac:dyDescent="0.25">
      <c r="A162" s="20" t="s">
        <v>434</v>
      </c>
      <c r="B162" s="21" t="s">
        <v>374</v>
      </c>
      <c r="E162" s="26" t="s">
        <v>42</v>
      </c>
      <c r="F162" s="26" t="s">
        <v>42</v>
      </c>
      <c r="G162" s="60" t="s">
        <v>42</v>
      </c>
      <c r="H162" s="26" t="s">
        <v>42</v>
      </c>
      <c r="I162" s="26" t="s">
        <v>42</v>
      </c>
      <c r="J162" s="26" t="s">
        <v>42</v>
      </c>
      <c r="K162" s="26" t="s">
        <v>42</v>
      </c>
      <c r="L162" s="26" t="s">
        <v>42</v>
      </c>
      <c r="O162" s="26"/>
      <c r="P162" s="26" t="s">
        <v>42</v>
      </c>
      <c r="Q162" s="26" t="s">
        <v>42</v>
      </c>
      <c r="R162" s="26" t="s">
        <v>42</v>
      </c>
      <c r="S162" s="26" t="s">
        <v>42</v>
      </c>
      <c r="T162" s="26" t="s">
        <v>42</v>
      </c>
      <c r="U162" s="26" t="s">
        <v>42</v>
      </c>
      <c r="V162" s="26" t="s">
        <v>42</v>
      </c>
      <c r="W162" s="26" t="s">
        <v>42</v>
      </c>
      <c r="X162" s="26"/>
      <c r="Z162" s="26"/>
      <c r="AA162" s="26"/>
      <c r="AB162" s="26"/>
      <c r="AD162" s="26"/>
      <c r="AE162" s="26"/>
      <c r="AF162" s="26"/>
      <c r="AG162" s="26"/>
      <c r="AH162" s="26"/>
      <c r="AI162" s="26"/>
    </row>
    <row r="163" spans="1:35" x14ac:dyDescent="0.25">
      <c r="A163" s="20" t="s">
        <v>432</v>
      </c>
      <c r="B163" s="70" t="s">
        <v>433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Z163" s="26"/>
      <c r="AA163" s="26"/>
      <c r="AB163" s="26"/>
      <c r="AD163" s="26"/>
      <c r="AE163" s="26"/>
      <c r="AF163" s="26"/>
      <c r="AG163" s="26"/>
      <c r="AH163" s="26"/>
      <c r="AI163" s="26"/>
    </row>
    <row r="164" spans="1:35" x14ac:dyDescent="0.25">
      <c r="A164" s="20" t="s">
        <v>432</v>
      </c>
      <c r="B164" s="21" t="s">
        <v>431</v>
      </c>
      <c r="C164" t="s">
        <v>422</v>
      </c>
      <c r="E164" s="26" t="s">
        <v>82</v>
      </c>
      <c r="F164" s="26" t="s">
        <v>82</v>
      </c>
      <c r="G164" s="60" t="s">
        <v>82</v>
      </c>
      <c r="H164" s="26" t="s">
        <v>82</v>
      </c>
      <c r="I164" s="26" t="s">
        <v>82</v>
      </c>
      <c r="J164" s="26" t="s">
        <v>82</v>
      </c>
      <c r="K164" s="26" t="s">
        <v>82</v>
      </c>
      <c r="L164" s="26" t="s">
        <v>82</v>
      </c>
      <c r="O164" s="26"/>
      <c r="P164" s="26" t="s">
        <v>82</v>
      </c>
      <c r="Q164" s="26" t="s">
        <v>82</v>
      </c>
      <c r="R164" s="26" t="s">
        <v>82</v>
      </c>
      <c r="S164" s="26" t="s">
        <v>82</v>
      </c>
      <c r="T164" s="26" t="s">
        <v>82</v>
      </c>
      <c r="U164" s="26" t="s">
        <v>82</v>
      </c>
      <c r="V164" s="26" t="s">
        <v>82</v>
      </c>
      <c r="W164" s="26" t="s">
        <v>82</v>
      </c>
      <c r="X164" s="26"/>
      <c r="Z164" s="26"/>
      <c r="AA164" s="26"/>
      <c r="AB164" s="26"/>
      <c r="AD164" s="26"/>
      <c r="AE164" s="26"/>
      <c r="AF164" s="26"/>
      <c r="AG164" s="26"/>
      <c r="AH164" s="26"/>
      <c r="AI164" s="26"/>
    </row>
    <row r="165" spans="1:35" x14ac:dyDescent="0.25">
      <c r="A165" s="20" t="s">
        <v>430</v>
      </c>
      <c r="B165" s="21" t="s">
        <v>429</v>
      </c>
      <c r="C165" t="s">
        <v>422</v>
      </c>
      <c r="E165" s="26" t="s">
        <v>82</v>
      </c>
      <c r="F165" s="26" t="s">
        <v>82</v>
      </c>
      <c r="G165" s="60" t="s">
        <v>82</v>
      </c>
      <c r="H165" s="26" t="s">
        <v>82</v>
      </c>
      <c r="I165" s="26" t="s">
        <v>82</v>
      </c>
      <c r="J165" s="26" t="s">
        <v>82</v>
      </c>
      <c r="K165" s="26" t="s">
        <v>82</v>
      </c>
      <c r="L165" s="26" t="s">
        <v>82</v>
      </c>
      <c r="O165" s="26"/>
      <c r="P165" s="26" t="s">
        <v>82</v>
      </c>
      <c r="Q165" s="26" t="s">
        <v>82</v>
      </c>
      <c r="R165" s="26" t="s">
        <v>82</v>
      </c>
      <c r="S165" s="26" t="s">
        <v>82</v>
      </c>
      <c r="T165" s="26" t="s">
        <v>82</v>
      </c>
      <c r="U165" s="26" t="s">
        <v>82</v>
      </c>
      <c r="V165" s="26" t="s">
        <v>82</v>
      </c>
      <c r="W165" s="26" t="s">
        <v>82</v>
      </c>
      <c r="X165" s="26"/>
      <c r="Z165" s="26"/>
      <c r="AA165" s="26"/>
      <c r="AB165" s="26"/>
      <c r="AD165" s="26"/>
      <c r="AE165" s="26"/>
      <c r="AF165" s="26"/>
      <c r="AG165" s="26"/>
      <c r="AH165" s="26"/>
      <c r="AI165" s="26"/>
    </row>
    <row r="166" spans="1:35" ht="30" x14ac:dyDescent="0.25">
      <c r="A166" s="20" t="s">
        <v>428</v>
      </c>
      <c r="B166" s="21" t="s">
        <v>427</v>
      </c>
      <c r="C166" t="s">
        <v>422</v>
      </c>
      <c r="E166" s="26" t="s">
        <v>82</v>
      </c>
      <c r="F166" s="26" t="s">
        <v>82</v>
      </c>
      <c r="G166" s="60" t="s">
        <v>82</v>
      </c>
      <c r="H166" s="26" t="s">
        <v>82</v>
      </c>
      <c r="I166" s="26" t="s">
        <v>82</v>
      </c>
      <c r="J166" s="26" t="s">
        <v>82</v>
      </c>
      <c r="K166" s="26" t="s">
        <v>82</v>
      </c>
      <c r="L166" s="26" t="s">
        <v>82</v>
      </c>
      <c r="O166" s="26"/>
      <c r="P166" s="26" t="s">
        <v>82</v>
      </c>
      <c r="Q166" s="26" t="s">
        <v>82</v>
      </c>
      <c r="R166" s="26" t="s">
        <v>82</v>
      </c>
      <c r="S166" s="26" t="s">
        <v>82</v>
      </c>
      <c r="T166" s="26" t="s">
        <v>82</v>
      </c>
      <c r="U166" s="26" t="s">
        <v>82</v>
      </c>
      <c r="V166" s="26" t="s">
        <v>82</v>
      </c>
      <c r="W166" s="26" t="s">
        <v>82</v>
      </c>
      <c r="X166" s="26"/>
      <c r="Z166" s="26"/>
      <c r="AA166" s="26"/>
      <c r="AB166" s="26"/>
      <c r="AD166" s="26"/>
      <c r="AE166" s="26"/>
      <c r="AF166" s="26"/>
      <c r="AG166" s="26"/>
      <c r="AH166" s="26"/>
      <c r="AI166" s="26"/>
    </row>
    <row r="167" spans="1:35" x14ac:dyDescent="0.25">
      <c r="A167" s="20" t="s">
        <v>426</v>
      </c>
      <c r="B167" s="21" t="s">
        <v>425</v>
      </c>
      <c r="C167" t="s">
        <v>422</v>
      </c>
      <c r="E167" s="26" t="s">
        <v>82</v>
      </c>
      <c r="F167" s="26" t="s">
        <v>82</v>
      </c>
      <c r="G167" s="60" t="s">
        <v>82</v>
      </c>
      <c r="H167" s="26" t="s">
        <v>82</v>
      </c>
      <c r="I167" s="26" t="s">
        <v>82</v>
      </c>
      <c r="J167" s="26" t="s">
        <v>82</v>
      </c>
      <c r="K167" s="26" t="s">
        <v>82</v>
      </c>
      <c r="L167" s="26" t="s">
        <v>82</v>
      </c>
      <c r="O167" s="26"/>
      <c r="P167" s="26" t="s">
        <v>82</v>
      </c>
      <c r="Q167" s="26" t="s">
        <v>82</v>
      </c>
      <c r="R167" s="26" t="s">
        <v>82</v>
      </c>
      <c r="S167" s="26" t="s">
        <v>82</v>
      </c>
      <c r="T167" s="26" t="s">
        <v>82</v>
      </c>
      <c r="U167" s="26" t="s">
        <v>82</v>
      </c>
      <c r="V167" s="26" t="s">
        <v>82</v>
      </c>
      <c r="W167" s="26" t="s">
        <v>82</v>
      </c>
      <c r="X167" s="26"/>
      <c r="Z167" s="26"/>
      <c r="AA167" s="26"/>
      <c r="AB167" s="26"/>
      <c r="AD167" s="26"/>
      <c r="AE167" s="26"/>
      <c r="AF167" s="26"/>
      <c r="AG167" s="26"/>
      <c r="AH167" s="26"/>
      <c r="AI167" s="26"/>
    </row>
    <row r="168" spans="1:35" ht="30" x14ac:dyDescent="0.25">
      <c r="A168" s="20" t="s">
        <v>424</v>
      </c>
      <c r="B168" s="21" t="s">
        <v>423</v>
      </c>
      <c r="C168" t="s">
        <v>422</v>
      </c>
      <c r="E168" s="26" t="s">
        <v>82</v>
      </c>
      <c r="F168" s="26" t="s">
        <v>82</v>
      </c>
      <c r="G168" s="60" t="s">
        <v>82</v>
      </c>
      <c r="H168" s="26" t="s">
        <v>82</v>
      </c>
      <c r="I168" s="26" t="s">
        <v>82</v>
      </c>
      <c r="J168" s="26" t="s">
        <v>82</v>
      </c>
      <c r="K168" s="26" t="s">
        <v>82</v>
      </c>
      <c r="L168" s="26" t="s">
        <v>82</v>
      </c>
      <c r="O168" s="26"/>
      <c r="P168" s="26" t="s">
        <v>82</v>
      </c>
      <c r="Q168" s="26" t="s">
        <v>82</v>
      </c>
      <c r="R168" s="26" t="s">
        <v>82</v>
      </c>
      <c r="S168" s="26" t="s">
        <v>82</v>
      </c>
      <c r="T168" s="26" t="s">
        <v>82</v>
      </c>
      <c r="U168" s="26" t="s">
        <v>82</v>
      </c>
      <c r="V168" s="26" t="s">
        <v>82</v>
      </c>
      <c r="W168" s="26" t="s">
        <v>82</v>
      </c>
      <c r="X168" s="26"/>
      <c r="Z168" s="26"/>
      <c r="AA168" s="26"/>
      <c r="AB168" s="26"/>
      <c r="AD168" s="26"/>
      <c r="AE168" s="26"/>
      <c r="AF168" s="26"/>
      <c r="AG168" s="26"/>
      <c r="AH168" s="26"/>
      <c r="AI168" s="26"/>
    </row>
    <row r="169" spans="1:35" x14ac:dyDescent="0.25">
      <c r="A169" s="31" t="s">
        <v>89</v>
      </c>
      <c r="B169" s="21" t="s">
        <v>421</v>
      </c>
      <c r="D169"/>
      <c r="E169"/>
      <c r="F169"/>
      <c r="G169"/>
      <c r="H169"/>
      <c r="I169"/>
      <c r="J169"/>
      <c r="K169"/>
      <c r="L169"/>
      <c r="M169"/>
      <c r="N169"/>
      <c r="Z169" s="26"/>
      <c r="AA169" s="26"/>
      <c r="AB169" s="26"/>
      <c r="AD169" s="26"/>
      <c r="AE169" s="26"/>
      <c r="AF169" s="26"/>
      <c r="AG169" s="26"/>
      <c r="AH169" s="26"/>
      <c r="AI169" s="26"/>
    </row>
    <row r="170" spans="1:35" x14ac:dyDescent="0.25">
      <c r="A170" s="31" t="s">
        <v>89</v>
      </c>
      <c r="B170" s="69" t="s">
        <v>420</v>
      </c>
      <c r="C170" t="s">
        <v>419</v>
      </c>
      <c r="E170" s="26" t="s">
        <v>42</v>
      </c>
      <c r="F170" s="26" t="s">
        <v>42</v>
      </c>
      <c r="G170" s="60" t="s">
        <v>42</v>
      </c>
      <c r="H170" s="26" t="s">
        <v>42</v>
      </c>
      <c r="I170" s="26" t="s">
        <v>42</v>
      </c>
      <c r="J170" s="26" t="s">
        <v>42</v>
      </c>
      <c r="K170" s="26" t="s">
        <v>42</v>
      </c>
      <c r="L170" s="26" t="s">
        <v>42</v>
      </c>
      <c r="M170" s="60" t="s">
        <v>42</v>
      </c>
      <c r="O170" s="26"/>
      <c r="P170" s="26" t="s">
        <v>82</v>
      </c>
      <c r="Q170" s="26" t="s">
        <v>82</v>
      </c>
      <c r="R170" s="26" t="s">
        <v>82</v>
      </c>
      <c r="S170" s="26" t="s">
        <v>82</v>
      </c>
      <c r="Z170" s="26"/>
      <c r="AA170" s="26"/>
      <c r="AB170" s="26"/>
      <c r="AD170" s="26"/>
      <c r="AE170" s="26"/>
      <c r="AF170" s="26"/>
      <c r="AG170" s="26"/>
      <c r="AH170" s="26"/>
      <c r="AI170" s="26"/>
    </row>
    <row r="171" spans="1:35" x14ac:dyDescent="0.25">
      <c r="A171" s="31" t="s">
        <v>89</v>
      </c>
      <c r="B171" s="69" t="s">
        <v>418</v>
      </c>
      <c r="E171" s="26" t="s">
        <v>42</v>
      </c>
      <c r="F171" s="26" t="s">
        <v>42</v>
      </c>
      <c r="G171" s="60" t="s">
        <v>42</v>
      </c>
      <c r="H171" s="26" t="s">
        <v>42</v>
      </c>
      <c r="I171" s="26" t="s">
        <v>42</v>
      </c>
      <c r="J171" s="26" t="s">
        <v>42</v>
      </c>
      <c r="K171" s="26" t="s">
        <v>42</v>
      </c>
      <c r="L171" s="26" t="s">
        <v>42</v>
      </c>
      <c r="M171" s="60" t="s">
        <v>42</v>
      </c>
      <c r="O171" s="26"/>
      <c r="P171" s="26" t="s">
        <v>82</v>
      </c>
      <c r="Q171" s="26" t="s">
        <v>82</v>
      </c>
      <c r="R171" s="26" t="s">
        <v>82</v>
      </c>
      <c r="S171" s="26" t="s">
        <v>82</v>
      </c>
      <c r="Z171" s="26"/>
      <c r="AA171" s="26"/>
      <c r="AB171" s="26"/>
      <c r="AD171" s="26"/>
      <c r="AE171" s="26"/>
      <c r="AF171" s="26"/>
      <c r="AG171" s="26"/>
      <c r="AH171" s="26"/>
      <c r="AI171" s="26"/>
    </row>
    <row r="172" spans="1:35" ht="30" x14ac:dyDescent="0.25">
      <c r="A172" s="18" t="s">
        <v>417</v>
      </c>
      <c r="B172" s="19" t="s">
        <v>416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Z172" s="26"/>
      <c r="AA172" s="26"/>
      <c r="AB172" s="26"/>
      <c r="AD172" s="26"/>
      <c r="AE172" s="26"/>
      <c r="AF172" s="26"/>
      <c r="AG172" s="26"/>
      <c r="AH172" s="26"/>
      <c r="AI172" s="26"/>
    </row>
    <row r="173" spans="1:35" x14ac:dyDescent="0.25">
      <c r="A173" s="20" t="s">
        <v>415</v>
      </c>
      <c r="B173" s="21" t="s">
        <v>414</v>
      </c>
      <c r="I173" s="26" t="s">
        <v>42</v>
      </c>
      <c r="M173" s="60" t="s">
        <v>42</v>
      </c>
      <c r="O173" s="26"/>
      <c r="P173" s="26"/>
      <c r="Q173" s="26"/>
      <c r="R173" s="26"/>
      <c r="S173" s="26"/>
      <c r="T173" s="26" t="s">
        <v>42</v>
      </c>
      <c r="U173" s="26"/>
      <c r="V173" s="26"/>
      <c r="W173" s="26"/>
      <c r="X173" s="26" t="s">
        <v>42</v>
      </c>
      <c r="Z173" s="26"/>
      <c r="AA173" s="26"/>
      <c r="AB173" s="26"/>
      <c r="AD173" s="26"/>
      <c r="AE173" s="26"/>
      <c r="AF173" s="26"/>
      <c r="AG173" s="26"/>
      <c r="AH173" s="26"/>
      <c r="AI173" s="26"/>
    </row>
    <row r="174" spans="1:35" x14ac:dyDescent="0.25">
      <c r="A174" s="20" t="s">
        <v>413</v>
      </c>
      <c r="B174" s="21" t="s">
        <v>378</v>
      </c>
      <c r="I174" s="26" t="s">
        <v>42</v>
      </c>
      <c r="M174" s="60" t="s">
        <v>42</v>
      </c>
      <c r="O174" s="26"/>
      <c r="P174" s="26"/>
      <c r="Q174" s="26"/>
      <c r="R174" s="26"/>
      <c r="S174" s="26"/>
      <c r="T174" s="26" t="s">
        <v>42</v>
      </c>
      <c r="U174" s="26"/>
      <c r="V174" s="26"/>
      <c r="W174" s="26"/>
      <c r="X174" s="26" t="s">
        <v>42</v>
      </c>
      <c r="Z174" s="26"/>
      <c r="AA174" s="26"/>
      <c r="AB174" s="26"/>
      <c r="AD174" s="26"/>
      <c r="AE174" s="26"/>
      <c r="AF174" s="26"/>
      <c r="AG174" s="26"/>
      <c r="AH174" s="26"/>
      <c r="AI174" s="26"/>
    </row>
    <row r="175" spans="1:35" x14ac:dyDescent="0.25">
      <c r="A175" s="20" t="s">
        <v>412</v>
      </c>
      <c r="B175" s="21" t="s">
        <v>411</v>
      </c>
      <c r="I175" s="26" t="s">
        <v>42</v>
      </c>
      <c r="M175" s="60" t="s">
        <v>42</v>
      </c>
      <c r="O175" s="26"/>
      <c r="P175" s="26"/>
      <c r="Q175" s="26"/>
      <c r="R175" s="26"/>
      <c r="S175" s="26"/>
      <c r="T175" s="26" t="s">
        <v>42</v>
      </c>
      <c r="U175" s="26"/>
      <c r="V175" s="26"/>
      <c r="W175" s="26"/>
      <c r="X175" s="26" t="s">
        <v>42</v>
      </c>
      <c r="Z175" s="26"/>
      <c r="AA175" s="26"/>
      <c r="AB175" s="26"/>
      <c r="AD175" s="26"/>
      <c r="AE175" s="26"/>
      <c r="AF175" s="26"/>
      <c r="AG175" s="26"/>
      <c r="AH175" s="26"/>
      <c r="AI175" s="26"/>
    </row>
    <row r="176" spans="1:35" x14ac:dyDescent="0.25">
      <c r="A176" s="20" t="s">
        <v>410</v>
      </c>
      <c r="B176" s="21" t="s">
        <v>409</v>
      </c>
      <c r="I176" s="26" t="s">
        <v>42</v>
      </c>
      <c r="M176" s="60" t="s">
        <v>42</v>
      </c>
      <c r="O176" s="26"/>
      <c r="P176" s="26"/>
      <c r="Q176" s="26"/>
      <c r="R176" s="26"/>
      <c r="S176" s="26"/>
      <c r="T176" s="26" t="s">
        <v>42</v>
      </c>
      <c r="U176" s="26"/>
      <c r="V176" s="26"/>
      <c r="W176" s="26"/>
      <c r="X176" s="26" t="s">
        <v>42</v>
      </c>
      <c r="Z176" s="26"/>
      <c r="AA176" s="26"/>
      <c r="AB176" s="26"/>
      <c r="AD176" s="26"/>
      <c r="AE176" s="26"/>
      <c r="AF176" s="26"/>
      <c r="AG176" s="26"/>
      <c r="AH176" s="26"/>
      <c r="AI176" s="26"/>
    </row>
    <row r="177" spans="1:35" x14ac:dyDescent="0.25">
      <c r="A177" s="20" t="s">
        <v>408</v>
      </c>
      <c r="B177" s="21" t="s">
        <v>407</v>
      </c>
      <c r="I177" s="26" t="s">
        <v>42</v>
      </c>
      <c r="M177" s="60" t="s">
        <v>42</v>
      </c>
      <c r="O177" s="26"/>
      <c r="P177" s="26"/>
      <c r="Q177" s="26"/>
      <c r="R177" s="26"/>
      <c r="S177" s="26"/>
      <c r="T177" s="26" t="s">
        <v>42</v>
      </c>
      <c r="U177" s="26"/>
      <c r="V177" s="26"/>
      <c r="W177" s="26"/>
      <c r="X177" s="26" t="s">
        <v>42</v>
      </c>
      <c r="Z177" s="26"/>
      <c r="AA177" s="26"/>
      <c r="AB177" s="26"/>
      <c r="AD177" s="26"/>
      <c r="AE177" s="26"/>
      <c r="AF177" s="26"/>
      <c r="AG177" s="26"/>
      <c r="AH177" s="26"/>
      <c r="AI177" s="26"/>
    </row>
    <row r="178" spans="1:35" ht="30" x14ac:dyDescent="0.25">
      <c r="A178" s="20" t="s">
        <v>406</v>
      </c>
      <c r="B178" s="21" t="s">
        <v>405</v>
      </c>
      <c r="I178" s="26" t="s">
        <v>42</v>
      </c>
      <c r="M178" s="60" t="s">
        <v>42</v>
      </c>
      <c r="O178" s="26"/>
      <c r="P178" s="26"/>
      <c r="Q178" s="26"/>
      <c r="R178" s="26"/>
      <c r="S178" s="26"/>
      <c r="T178" s="26" t="s">
        <v>42</v>
      </c>
      <c r="U178" s="26"/>
      <c r="V178" s="26"/>
      <c r="W178" s="26"/>
      <c r="X178" s="26" t="s">
        <v>42</v>
      </c>
      <c r="Z178" s="26"/>
      <c r="AA178" s="26"/>
      <c r="AB178" s="26"/>
      <c r="AD178" s="26"/>
      <c r="AE178" s="26"/>
      <c r="AF178" s="26"/>
      <c r="AG178" s="26"/>
      <c r="AH178" s="26"/>
      <c r="AI178" s="26"/>
    </row>
    <row r="179" spans="1:35" x14ac:dyDescent="0.25">
      <c r="A179" s="20" t="s">
        <v>404</v>
      </c>
      <c r="B179" s="21" t="s">
        <v>403</v>
      </c>
      <c r="I179" s="26" t="s">
        <v>42</v>
      </c>
      <c r="M179" s="60" t="s">
        <v>42</v>
      </c>
      <c r="O179" s="26"/>
      <c r="P179" s="26"/>
      <c r="Q179" s="26"/>
      <c r="R179" s="26"/>
      <c r="S179" s="26"/>
      <c r="T179" s="26" t="s">
        <v>42</v>
      </c>
      <c r="U179" s="26"/>
      <c r="V179" s="26"/>
      <c r="W179" s="26"/>
      <c r="X179" s="26" t="s">
        <v>42</v>
      </c>
      <c r="Z179" s="26"/>
      <c r="AA179" s="26"/>
      <c r="AB179" s="26"/>
      <c r="AD179" s="26"/>
      <c r="AE179" s="26"/>
      <c r="AF179" s="26"/>
      <c r="AG179" s="26"/>
      <c r="AH179" s="26"/>
      <c r="AI179" s="26"/>
    </row>
    <row r="180" spans="1:35" x14ac:dyDescent="0.25">
      <c r="A180" s="31" t="s">
        <v>89</v>
      </c>
      <c r="B180" s="21" t="s">
        <v>402</v>
      </c>
      <c r="I180" s="26" t="s">
        <v>42</v>
      </c>
      <c r="M180" s="60" t="s">
        <v>42</v>
      </c>
      <c r="O180" s="26"/>
      <c r="P180" s="26"/>
      <c r="Q180" s="26"/>
      <c r="R180" s="26"/>
      <c r="S180" s="26"/>
      <c r="T180" s="26" t="s">
        <v>42</v>
      </c>
      <c r="U180" s="26"/>
      <c r="V180" s="26"/>
      <c r="W180" s="26"/>
      <c r="X180" s="26" t="s">
        <v>42</v>
      </c>
      <c r="Z180" s="26"/>
      <c r="AA180" s="26"/>
      <c r="AB180" s="26"/>
      <c r="AD180" s="26"/>
      <c r="AE180" s="26"/>
      <c r="AF180" s="26"/>
      <c r="AG180" s="26"/>
      <c r="AH180" s="26"/>
      <c r="AI180" s="26"/>
    </row>
    <row r="181" spans="1:35" ht="30" x14ac:dyDescent="0.25">
      <c r="A181" s="20" t="s">
        <v>401</v>
      </c>
      <c r="B181" s="21" t="s">
        <v>400</v>
      </c>
      <c r="I181" s="26" t="s">
        <v>42</v>
      </c>
      <c r="M181" s="60" t="s">
        <v>42</v>
      </c>
      <c r="O181" s="26"/>
      <c r="P181" s="26"/>
      <c r="Q181" s="26"/>
      <c r="R181" s="26"/>
      <c r="S181" s="26"/>
      <c r="T181" s="26" t="s">
        <v>42</v>
      </c>
      <c r="U181" s="26"/>
      <c r="V181" s="26"/>
      <c r="W181" s="26"/>
      <c r="X181" s="26" t="s">
        <v>42</v>
      </c>
      <c r="Z181" s="26"/>
      <c r="AA181" s="26"/>
      <c r="AB181" s="26"/>
      <c r="AD181" s="26"/>
      <c r="AE181" s="26"/>
      <c r="AF181" s="26"/>
      <c r="AG181" s="26"/>
      <c r="AH181" s="26"/>
      <c r="AI181" s="26"/>
    </row>
    <row r="182" spans="1:35" ht="30" x14ac:dyDescent="0.25">
      <c r="A182" s="20" t="s">
        <v>399</v>
      </c>
      <c r="B182" s="21" t="s">
        <v>374</v>
      </c>
      <c r="I182" s="26" t="s">
        <v>42</v>
      </c>
      <c r="M182" s="60" t="s">
        <v>42</v>
      </c>
      <c r="O182" s="26"/>
      <c r="P182" s="26"/>
      <c r="Q182" s="26"/>
      <c r="R182" s="26"/>
      <c r="S182" s="26"/>
      <c r="T182" s="26" t="s">
        <v>42</v>
      </c>
      <c r="U182" s="26"/>
      <c r="V182" s="26"/>
      <c r="W182" s="26"/>
      <c r="X182" s="26" t="s">
        <v>42</v>
      </c>
      <c r="Z182" s="26"/>
      <c r="AA182" s="26"/>
      <c r="AB182" s="26"/>
      <c r="AD182" s="26"/>
      <c r="AE182" s="26"/>
      <c r="AF182" s="26"/>
      <c r="AG182" s="26"/>
      <c r="AH182" s="26"/>
      <c r="AI182" s="26"/>
    </row>
    <row r="183" spans="1:35" x14ac:dyDescent="0.25">
      <c r="A183" s="18" t="s">
        <v>398</v>
      </c>
      <c r="B183" s="19" t="s">
        <v>397</v>
      </c>
      <c r="C183" t="s">
        <v>396</v>
      </c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Z183" s="26"/>
      <c r="AA183" s="26"/>
      <c r="AB183" s="26"/>
      <c r="AD183" s="26"/>
      <c r="AE183" s="26"/>
      <c r="AF183" s="26"/>
      <c r="AG183" s="26"/>
      <c r="AH183" s="26"/>
      <c r="AI183" s="26"/>
    </row>
    <row r="184" spans="1:35" x14ac:dyDescent="0.25">
      <c r="A184" s="20" t="s">
        <v>395</v>
      </c>
      <c r="B184" s="21" t="s">
        <v>394</v>
      </c>
      <c r="E184" s="26" t="s">
        <v>82</v>
      </c>
      <c r="F184" s="26" t="s">
        <v>82</v>
      </c>
      <c r="G184" s="26" t="s">
        <v>82</v>
      </c>
      <c r="H184" s="26" t="s">
        <v>82</v>
      </c>
      <c r="I184" s="26" t="s">
        <v>82</v>
      </c>
      <c r="J184" s="26" t="s">
        <v>42</v>
      </c>
      <c r="K184" s="26" t="s">
        <v>42</v>
      </c>
      <c r="L184" s="26" t="s">
        <v>42</v>
      </c>
      <c r="M184" s="60" t="s">
        <v>42</v>
      </c>
      <c r="O184" s="26"/>
      <c r="P184" s="26" t="s">
        <v>82</v>
      </c>
      <c r="Q184" s="26" t="s">
        <v>82</v>
      </c>
      <c r="R184" s="26" t="s">
        <v>82</v>
      </c>
      <c r="S184" s="26" t="s">
        <v>82</v>
      </c>
      <c r="T184" s="26" t="s">
        <v>82</v>
      </c>
      <c r="U184" s="26" t="s">
        <v>42</v>
      </c>
      <c r="V184" s="26" t="s">
        <v>42</v>
      </c>
      <c r="W184" s="26" t="s">
        <v>42</v>
      </c>
      <c r="X184" s="26" t="s">
        <v>42</v>
      </c>
      <c r="Z184" s="26"/>
      <c r="AA184" s="26"/>
      <c r="AB184" s="26"/>
      <c r="AD184" s="26"/>
      <c r="AE184" s="26"/>
      <c r="AF184" s="26"/>
      <c r="AG184" s="26"/>
      <c r="AH184" s="26"/>
      <c r="AI184" s="26"/>
    </row>
    <row r="185" spans="1:35" x14ac:dyDescent="0.25">
      <c r="A185" s="20" t="s">
        <v>393</v>
      </c>
      <c r="B185" s="21" t="s">
        <v>392</v>
      </c>
      <c r="E185" s="26" t="s">
        <v>82</v>
      </c>
      <c r="F185" s="26" t="s">
        <v>82</v>
      </c>
      <c r="G185" s="26" t="s">
        <v>82</v>
      </c>
      <c r="H185" s="26" t="s">
        <v>82</v>
      </c>
      <c r="I185" s="26" t="s">
        <v>82</v>
      </c>
      <c r="J185" s="26" t="s">
        <v>42</v>
      </c>
      <c r="K185" s="26" t="s">
        <v>42</v>
      </c>
      <c r="L185" s="26" t="s">
        <v>42</v>
      </c>
      <c r="M185" s="60" t="s">
        <v>42</v>
      </c>
      <c r="O185" s="26"/>
      <c r="P185" s="26" t="s">
        <v>82</v>
      </c>
      <c r="Q185" s="26" t="s">
        <v>82</v>
      </c>
      <c r="R185" s="26" t="s">
        <v>82</v>
      </c>
      <c r="S185" s="26" t="s">
        <v>82</v>
      </c>
      <c r="T185" s="26" t="s">
        <v>82</v>
      </c>
      <c r="U185" s="26" t="s">
        <v>42</v>
      </c>
      <c r="V185" s="26" t="s">
        <v>42</v>
      </c>
      <c r="W185" s="26" t="s">
        <v>42</v>
      </c>
      <c r="X185" s="26" t="s">
        <v>42</v>
      </c>
      <c r="Z185" s="26"/>
      <c r="AA185" s="26"/>
      <c r="AB185" s="26"/>
      <c r="AD185" s="26"/>
      <c r="AE185" s="26"/>
      <c r="AF185" s="26"/>
      <c r="AG185" s="26"/>
      <c r="AH185" s="26"/>
      <c r="AI185" s="26"/>
    </row>
    <row r="186" spans="1:35" x14ac:dyDescent="0.25">
      <c r="A186" s="20" t="s">
        <v>391</v>
      </c>
      <c r="B186" s="21" t="s">
        <v>390</v>
      </c>
      <c r="E186" s="26" t="s">
        <v>82</v>
      </c>
      <c r="F186" s="26" t="s">
        <v>82</v>
      </c>
      <c r="G186" s="26" t="s">
        <v>82</v>
      </c>
      <c r="H186" s="26" t="s">
        <v>82</v>
      </c>
      <c r="I186" s="26" t="s">
        <v>82</v>
      </c>
      <c r="J186" s="26" t="s">
        <v>42</v>
      </c>
      <c r="K186" s="26" t="s">
        <v>42</v>
      </c>
      <c r="L186" s="26" t="s">
        <v>42</v>
      </c>
      <c r="M186" s="60" t="s">
        <v>42</v>
      </c>
      <c r="O186" s="26"/>
      <c r="P186" s="26" t="s">
        <v>82</v>
      </c>
      <c r="Q186" s="26" t="s">
        <v>82</v>
      </c>
      <c r="R186" s="26" t="s">
        <v>82</v>
      </c>
      <c r="S186" s="26" t="s">
        <v>82</v>
      </c>
      <c r="T186" s="26" t="s">
        <v>82</v>
      </c>
      <c r="U186" s="26" t="s">
        <v>42</v>
      </c>
      <c r="V186" s="26" t="s">
        <v>42</v>
      </c>
      <c r="W186" s="26" t="s">
        <v>42</v>
      </c>
      <c r="X186" s="26" t="s">
        <v>42</v>
      </c>
      <c r="Z186" s="26"/>
      <c r="AA186" s="26"/>
      <c r="AB186" s="26"/>
      <c r="AD186" s="26"/>
      <c r="AE186" s="26"/>
      <c r="AF186" s="26"/>
      <c r="AG186" s="26"/>
      <c r="AH186" s="26"/>
      <c r="AI186" s="26"/>
    </row>
    <row r="187" spans="1:35" x14ac:dyDescent="0.25">
      <c r="A187" s="20" t="s">
        <v>389</v>
      </c>
      <c r="B187" s="21" t="s">
        <v>388</v>
      </c>
      <c r="E187" s="26" t="s">
        <v>82</v>
      </c>
      <c r="F187" s="26" t="s">
        <v>82</v>
      </c>
      <c r="G187" s="26" t="s">
        <v>82</v>
      </c>
      <c r="H187" s="26" t="s">
        <v>82</v>
      </c>
      <c r="I187" s="26" t="s">
        <v>82</v>
      </c>
      <c r="J187" s="26" t="s">
        <v>42</v>
      </c>
      <c r="K187" s="26" t="s">
        <v>42</v>
      </c>
      <c r="L187" s="26" t="s">
        <v>42</v>
      </c>
      <c r="M187" s="60" t="s">
        <v>42</v>
      </c>
      <c r="O187" s="26"/>
      <c r="P187" s="26" t="s">
        <v>82</v>
      </c>
      <c r="Q187" s="26" t="s">
        <v>82</v>
      </c>
      <c r="R187" s="26" t="s">
        <v>82</v>
      </c>
      <c r="S187" s="26" t="s">
        <v>82</v>
      </c>
      <c r="T187" s="26" t="s">
        <v>82</v>
      </c>
      <c r="U187" s="26" t="s">
        <v>42</v>
      </c>
      <c r="V187" s="26" t="s">
        <v>42</v>
      </c>
      <c r="W187" s="26" t="s">
        <v>42</v>
      </c>
      <c r="X187" s="26" t="s">
        <v>42</v>
      </c>
      <c r="Z187" s="26"/>
      <c r="AA187" s="26"/>
      <c r="AB187" s="26"/>
      <c r="AD187" s="26"/>
      <c r="AE187" s="26"/>
      <c r="AF187" s="26"/>
      <c r="AG187" s="26"/>
      <c r="AH187" s="26"/>
      <c r="AI187" s="26"/>
    </row>
    <row r="188" spans="1:35" x14ac:dyDescent="0.25">
      <c r="A188" s="20" t="s">
        <v>387</v>
      </c>
      <c r="B188" s="21" t="s">
        <v>386</v>
      </c>
      <c r="E188" s="26" t="s">
        <v>82</v>
      </c>
      <c r="F188" s="26" t="s">
        <v>82</v>
      </c>
      <c r="G188" s="26" t="s">
        <v>82</v>
      </c>
      <c r="H188" s="26" t="s">
        <v>82</v>
      </c>
      <c r="I188" s="26" t="s">
        <v>82</v>
      </c>
      <c r="J188" s="26" t="s">
        <v>42</v>
      </c>
      <c r="K188" s="26" t="s">
        <v>42</v>
      </c>
      <c r="L188" s="26" t="s">
        <v>42</v>
      </c>
      <c r="M188" s="60" t="s">
        <v>42</v>
      </c>
      <c r="O188" s="26"/>
      <c r="P188" s="26" t="s">
        <v>82</v>
      </c>
      <c r="Q188" s="26" t="s">
        <v>82</v>
      </c>
      <c r="R188" s="26" t="s">
        <v>82</v>
      </c>
      <c r="S188" s="26" t="s">
        <v>82</v>
      </c>
      <c r="T188" s="26" t="s">
        <v>82</v>
      </c>
      <c r="U188" s="26" t="s">
        <v>42</v>
      </c>
      <c r="V188" s="26" t="s">
        <v>42</v>
      </c>
      <c r="W188" s="26" t="s">
        <v>42</v>
      </c>
      <c r="X188" s="26" t="s">
        <v>42</v>
      </c>
      <c r="Z188" s="26"/>
      <c r="AA188" s="26"/>
      <c r="AB188" s="26"/>
      <c r="AD188" s="26"/>
      <c r="AE188" s="26"/>
      <c r="AF188" s="26"/>
      <c r="AG188" s="26"/>
      <c r="AH188" s="26"/>
      <c r="AI188" s="26"/>
    </row>
    <row r="189" spans="1:35" x14ac:dyDescent="0.25">
      <c r="A189" s="20" t="s">
        <v>385</v>
      </c>
      <c r="B189" s="21" t="s">
        <v>384</v>
      </c>
      <c r="E189" s="26" t="s">
        <v>82</v>
      </c>
      <c r="F189" s="26" t="s">
        <v>82</v>
      </c>
      <c r="G189" s="26" t="s">
        <v>82</v>
      </c>
      <c r="H189" s="26" t="s">
        <v>82</v>
      </c>
      <c r="I189" s="26" t="s">
        <v>82</v>
      </c>
      <c r="J189" s="26" t="s">
        <v>42</v>
      </c>
      <c r="K189" s="26" t="s">
        <v>42</v>
      </c>
      <c r="L189" s="26" t="s">
        <v>42</v>
      </c>
      <c r="M189" s="60" t="s">
        <v>42</v>
      </c>
      <c r="O189" s="26"/>
      <c r="P189" s="26" t="s">
        <v>82</v>
      </c>
      <c r="Q189" s="26" t="s">
        <v>82</v>
      </c>
      <c r="R189" s="26" t="s">
        <v>82</v>
      </c>
      <c r="S189" s="26" t="s">
        <v>82</v>
      </c>
      <c r="T189" s="26" t="s">
        <v>82</v>
      </c>
      <c r="U189" s="26" t="s">
        <v>42</v>
      </c>
      <c r="V189" s="26" t="s">
        <v>42</v>
      </c>
      <c r="W189" s="26" t="s">
        <v>42</v>
      </c>
      <c r="X189" s="26" t="s">
        <v>42</v>
      </c>
      <c r="Z189" s="26"/>
      <c r="AA189" s="26"/>
      <c r="AB189" s="26"/>
      <c r="AD189" s="26"/>
      <c r="AE189" s="26"/>
      <c r="AF189" s="26"/>
      <c r="AG189" s="26"/>
      <c r="AH189" s="26"/>
      <c r="AI189" s="26"/>
    </row>
    <row r="190" spans="1:35" ht="30" x14ac:dyDescent="0.25">
      <c r="A190" s="20" t="s">
        <v>383</v>
      </c>
      <c r="B190" s="21" t="s">
        <v>374</v>
      </c>
      <c r="E190" s="26" t="s">
        <v>82</v>
      </c>
      <c r="F190" s="26" t="s">
        <v>82</v>
      </c>
      <c r="G190" s="26" t="s">
        <v>82</v>
      </c>
      <c r="H190" s="26" t="s">
        <v>82</v>
      </c>
      <c r="I190" s="26" t="s">
        <v>82</v>
      </c>
      <c r="J190" s="26" t="s">
        <v>42</v>
      </c>
      <c r="K190" s="26" t="s">
        <v>42</v>
      </c>
      <c r="L190" s="26" t="s">
        <v>42</v>
      </c>
      <c r="M190" s="60" t="s">
        <v>42</v>
      </c>
      <c r="O190" s="26"/>
      <c r="P190" s="26" t="s">
        <v>82</v>
      </c>
      <c r="Q190" s="26" t="s">
        <v>82</v>
      </c>
      <c r="R190" s="26" t="s">
        <v>82</v>
      </c>
      <c r="S190" s="26" t="s">
        <v>82</v>
      </c>
      <c r="T190" s="26" t="s">
        <v>82</v>
      </c>
      <c r="U190" s="26" t="s">
        <v>42</v>
      </c>
      <c r="V190" s="26" t="s">
        <v>42</v>
      </c>
      <c r="W190" s="26" t="s">
        <v>42</v>
      </c>
      <c r="X190" s="26" t="s">
        <v>42</v>
      </c>
      <c r="Z190" s="26"/>
      <c r="AA190" s="26"/>
      <c r="AB190" s="26"/>
      <c r="AD190" s="26"/>
      <c r="AE190" s="26"/>
      <c r="AF190" s="26"/>
      <c r="AG190" s="26"/>
      <c r="AH190" s="26"/>
      <c r="AI190" s="26"/>
    </row>
    <row r="191" spans="1:35" x14ac:dyDescent="0.25">
      <c r="A191" s="20" t="s">
        <v>382</v>
      </c>
      <c r="B191" s="27" t="s">
        <v>381</v>
      </c>
      <c r="E191" s="26" t="s">
        <v>82</v>
      </c>
      <c r="F191" s="26" t="s">
        <v>82</v>
      </c>
      <c r="G191" s="26" t="s">
        <v>82</v>
      </c>
      <c r="H191" s="26" t="s">
        <v>82</v>
      </c>
      <c r="I191" s="26" t="s">
        <v>82</v>
      </c>
      <c r="J191" s="26" t="s">
        <v>42</v>
      </c>
      <c r="K191" s="26" t="s">
        <v>42</v>
      </c>
      <c r="L191" s="26" t="s">
        <v>42</v>
      </c>
      <c r="M191" s="60" t="s">
        <v>42</v>
      </c>
      <c r="O191" s="26"/>
      <c r="P191" s="26" t="s">
        <v>82</v>
      </c>
      <c r="Q191" s="26" t="s">
        <v>82</v>
      </c>
      <c r="R191" s="26" t="s">
        <v>82</v>
      </c>
      <c r="S191" s="26" t="s">
        <v>82</v>
      </c>
      <c r="T191" s="26" t="s">
        <v>82</v>
      </c>
      <c r="U191" s="26" t="s">
        <v>42</v>
      </c>
      <c r="V191" s="26" t="s">
        <v>42</v>
      </c>
      <c r="W191" s="26" t="s">
        <v>42</v>
      </c>
      <c r="X191" s="26" t="s">
        <v>42</v>
      </c>
      <c r="Z191" s="26"/>
      <c r="AA191" s="26"/>
      <c r="AB191" s="26"/>
      <c r="AD191" s="26"/>
      <c r="AE191" s="26"/>
      <c r="AF191" s="26"/>
      <c r="AG191" s="26"/>
      <c r="AH191" s="26"/>
      <c r="AI191" s="26"/>
    </row>
    <row r="192" spans="1:35" x14ac:dyDescent="0.25">
      <c r="A192" s="31" t="s">
        <v>89</v>
      </c>
      <c r="B192" s="19" t="s">
        <v>380</v>
      </c>
      <c r="G192" s="26"/>
      <c r="M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Z192" s="26"/>
      <c r="AA192" s="26"/>
      <c r="AB192" s="26"/>
      <c r="AD192" s="26"/>
      <c r="AE192" s="26"/>
      <c r="AF192" s="26"/>
      <c r="AG192" s="26"/>
      <c r="AH192" s="26"/>
      <c r="AI192" s="26"/>
    </row>
    <row r="193" spans="1:35" x14ac:dyDescent="0.25">
      <c r="A193" s="31" t="s">
        <v>89</v>
      </c>
      <c r="B193" s="27" t="s">
        <v>379</v>
      </c>
      <c r="E193" s="26" t="s">
        <v>82</v>
      </c>
      <c r="F193" s="26" t="s">
        <v>82</v>
      </c>
      <c r="G193" s="26" t="s">
        <v>82</v>
      </c>
      <c r="H193" s="26" t="s">
        <v>82</v>
      </c>
      <c r="I193" s="26" t="s">
        <v>82</v>
      </c>
      <c r="J193" s="26" t="s">
        <v>82</v>
      </c>
      <c r="K193" s="26" t="s">
        <v>82</v>
      </c>
      <c r="L193" s="26" t="s">
        <v>82</v>
      </c>
      <c r="M193" s="26" t="s">
        <v>82</v>
      </c>
      <c r="O193" s="26"/>
      <c r="P193" s="26" t="s">
        <v>82</v>
      </c>
      <c r="Q193" s="26" t="s">
        <v>82</v>
      </c>
      <c r="R193" s="26" t="s">
        <v>82</v>
      </c>
      <c r="S193" s="26" t="s">
        <v>82</v>
      </c>
      <c r="T193" s="26" t="s">
        <v>82</v>
      </c>
      <c r="U193" s="26" t="s">
        <v>82</v>
      </c>
      <c r="V193" s="26" t="s">
        <v>82</v>
      </c>
      <c r="W193" s="26" t="s">
        <v>82</v>
      </c>
      <c r="X193" s="26" t="s">
        <v>82</v>
      </c>
      <c r="Z193" s="26"/>
      <c r="AA193" s="26"/>
      <c r="AB193" s="26"/>
      <c r="AD193" s="26"/>
      <c r="AE193" s="26"/>
      <c r="AF193" s="26"/>
      <c r="AG193" s="26"/>
      <c r="AH193" s="26"/>
      <c r="AI193" s="26"/>
    </row>
    <row r="194" spans="1:35" x14ac:dyDescent="0.25">
      <c r="A194" s="31" t="s">
        <v>89</v>
      </c>
      <c r="B194" s="27" t="s">
        <v>378</v>
      </c>
      <c r="E194" s="26" t="s">
        <v>82</v>
      </c>
      <c r="F194" s="26" t="s">
        <v>82</v>
      </c>
      <c r="G194" s="26" t="s">
        <v>82</v>
      </c>
      <c r="H194" s="26" t="s">
        <v>82</v>
      </c>
      <c r="I194" s="26" t="s">
        <v>82</v>
      </c>
      <c r="J194" s="26" t="s">
        <v>82</v>
      </c>
      <c r="K194" s="26" t="s">
        <v>82</v>
      </c>
      <c r="L194" s="26" t="s">
        <v>82</v>
      </c>
      <c r="M194" s="26" t="s">
        <v>82</v>
      </c>
      <c r="O194" s="26"/>
      <c r="P194" s="26" t="s">
        <v>82</v>
      </c>
      <c r="Q194" s="26" t="s">
        <v>82</v>
      </c>
      <c r="R194" s="26" t="s">
        <v>82</v>
      </c>
      <c r="S194" s="26" t="s">
        <v>82</v>
      </c>
      <c r="T194" s="26" t="s">
        <v>82</v>
      </c>
      <c r="U194" s="26" t="s">
        <v>82</v>
      </c>
      <c r="V194" s="26" t="s">
        <v>82</v>
      </c>
      <c r="W194" s="26" t="s">
        <v>82</v>
      </c>
      <c r="X194" s="26" t="s">
        <v>82</v>
      </c>
      <c r="Z194" s="26"/>
      <c r="AA194" s="26"/>
      <c r="AB194" s="26"/>
      <c r="AD194" s="26"/>
      <c r="AE194" s="26"/>
      <c r="AF194" s="26"/>
      <c r="AG194" s="26"/>
      <c r="AH194" s="26"/>
      <c r="AI194" s="26"/>
    </row>
    <row r="195" spans="1:35" x14ac:dyDescent="0.25">
      <c r="A195" s="31" t="s">
        <v>89</v>
      </c>
      <c r="B195" s="21" t="s">
        <v>377</v>
      </c>
      <c r="E195" s="26" t="s">
        <v>82</v>
      </c>
      <c r="F195" s="26" t="s">
        <v>82</v>
      </c>
      <c r="G195" s="26" t="s">
        <v>82</v>
      </c>
      <c r="H195" s="26" t="s">
        <v>82</v>
      </c>
      <c r="I195" s="26" t="s">
        <v>82</v>
      </c>
      <c r="J195" s="26" t="s">
        <v>82</v>
      </c>
      <c r="K195" s="26" t="s">
        <v>82</v>
      </c>
      <c r="L195" s="26" t="s">
        <v>82</v>
      </c>
      <c r="M195" s="26" t="s">
        <v>82</v>
      </c>
      <c r="O195" s="26"/>
      <c r="P195" s="26" t="s">
        <v>82</v>
      </c>
      <c r="Q195" s="26" t="s">
        <v>82</v>
      </c>
      <c r="R195" s="26" t="s">
        <v>82</v>
      </c>
      <c r="S195" s="26" t="s">
        <v>82</v>
      </c>
      <c r="T195" s="26" t="s">
        <v>82</v>
      </c>
      <c r="U195" s="26" t="s">
        <v>82</v>
      </c>
      <c r="V195" s="26" t="s">
        <v>82</v>
      </c>
      <c r="W195" s="26" t="s">
        <v>82</v>
      </c>
      <c r="X195" s="26" t="s">
        <v>82</v>
      </c>
      <c r="Z195" s="26"/>
      <c r="AA195" s="26"/>
      <c r="AB195" s="26"/>
      <c r="AD195" s="26"/>
      <c r="AE195" s="26"/>
      <c r="AF195" s="26"/>
      <c r="AG195" s="26"/>
      <c r="AH195" s="26"/>
      <c r="AI195" s="26"/>
    </row>
    <row r="196" spans="1:35" x14ac:dyDescent="0.25">
      <c r="A196" s="31" t="s">
        <v>89</v>
      </c>
      <c r="B196" s="27" t="s">
        <v>376</v>
      </c>
      <c r="E196" s="26" t="s">
        <v>82</v>
      </c>
      <c r="F196" s="26" t="s">
        <v>82</v>
      </c>
      <c r="G196" s="26" t="s">
        <v>82</v>
      </c>
      <c r="H196" s="26" t="s">
        <v>82</v>
      </c>
      <c r="I196" s="26" t="s">
        <v>82</v>
      </c>
      <c r="J196" s="26" t="s">
        <v>82</v>
      </c>
      <c r="K196" s="26" t="s">
        <v>82</v>
      </c>
      <c r="L196" s="26" t="s">
        <v>82</v>
      </c>
      <c r="M196" s="26" t="s">
        <v>82</v>
      </c>
      <c r="O196" s="26"/>
      <c r="P196" s="26" t="s">
        <v>82</v>
      </c>
      <c r="Q196" s="26" t="s">
        <v>82</v>
      </c>
      <c r="R196" s="26" t="s">
        <v>82</v>
      </c>
      <c r="S196" s="26" t="s">
        <v>82</v>
      </c>
      <c r="T196" s="26" t="s">
        <v>82</v>
      </c>
      <c r="U196" s="26" t="s">
        <v>82</v>
      </c>
      <c r="V196" s="26" t="s">
        <v>82</v>
      </c>
      <c r="W196" s="26" t="s">
        <v>82</v>
      </c>
      <c r="X196" s="26" t="s">
        <v>82</v>
      </c>
      <c r="Z196" s="26"/>
      <c r="AA196" s="26"/>
      <c r="AB196" s="26"/>
      <c r="AD196" s="26"/>
      <c r="AE196" s="26"/>
      <c r="AF196" s="26"/>
      <c r="AG196" s="26"/>
      <c r="AH196" s="26"/>
      <c r="AI196" s="26"/>
    </row>
    <row r="197" spans="1:35" x14ac:dyDescent="0.25">
      <c r="A197" s="31" t="s">
        <v>89</v>
      </c>
      <c r="B197" s="27" t="s">
        <v>375</v>
      </c>
      <c r="E197" s="26" t="s">
        <v>82</v>
      </c>
      <c r="F197" s="26" t="s">
        <v>82</v>
      </c>
      <c r="G197" s="26" t="s">
        <v>82</v>
      </c>
      <c r="H197" s="26" t="s">
        <v>82</v>
      </c>
      <c r="I197" s="26" t="s">
        <v>82</v>
      </c>
      <c r="J197" s="26" t="s">
        <v>82</v>
      </c>
      <c r="K197" s="26" t="s">
        <v>82</v>
      </c>
      <c r="L197" s="26" t="s">
        <v>82</v>
      </c>
      <c r="M197" s="26" t="s">
        <v>82</v>
      </c>
      <c r="O197" s="26"/>
      <c r="P197" s="26" t="s">
        <v>82</v>
      </c>
      <c r="Q197" s="26" t="s">
        <v>82</v>
      </c>
      <c r="R197" s="26" t="s">
        <v>82</v>
      </c>
      <c r="S197" s="26" t="s">
        <v>82</v>
      </c>
      <c r="T197" s="26" t="s">
        <v>82</v>
      </c>
      <c r="U197" s="26" t="s">
        <v>82</v>
      </c>
      <c r="V197" s="26" t="s">
        <v>82</v>
      </c>
      <c r="W197" s="26" t="s">
        <v>82</v>
      </c>
      <c r="X197" s="26" t="s">
        <v>82</v>
      </c>
      <c r="Z197" s="26"/>
      <c r="AA197" s="26"/>
      <c r="AB197" s="26"/>
      <c r="AD197" s="26"/>
      <c r="AE197" s="26"/>
      <c r="AF197" s="26"/>
      <c r="AG197" s="26"/>
      <c r="AH197" s="26"/>
      <c r="AI197" s="26"/>
    </row>
    <row r="198" spans="1:35" ht="30" x14ac:dyDescent="0.25">
      <c r="A198" s="31" t="s">
        <v>89</v>
      </c>
      <c r="B198" s="21" t="s">
        <v>374</v>
      </c>
      <c r="E198" s="26" t="s">
        <v>82</v>
      </c>
      <c r="F198" s="26" t="s">
        <v>82</v>
      </c>
      <c r="G198" s="26" t="s">
        <v>82</v>
      </c>
      <c r="H198" s="26" t="s">
        <v>82</v>
      </c>
      <c r="I198" s="26" t="s">
        <v>82</v>
      </c>
      <c r="J198" s="26" t="s">
        <v>82</v>
      </c>
      <c r="K198" s="26" t="s">
        <v>82</v>
      </c>
      <c r="L198" s="26" t="s">
        <v>82</v>
      </c>
      <c r="M198" s="26" t="s">
        <v>82</v>
      </c>
      <c r="O198" s="26"/>
      <c r="P198" s="26" t="s">
        <v>82</v>
      </c>
      <c r="Q198" s="26" t="s">
        <v>82</v>
      </c>
      <c r="R198" s="26" t="s">
        <v>82</v>
      </c>
      <c r="S198" s="26" t="s">
        <v>82</v>
      </c>
      <c r="T198" s="26" t="s">
        <v>82</v>
      </c>
      <c r="U198" s="26" t="s">
        <v>82</v>
      </c>
      <c r="V198" s="26" t="s">
        <v>82</v>
      </c>
      <c r="W198" s="26" t="s">
        <v>82</v>
      </c>
      <c r="X198" s="26" t="s">
        <v>82</v>
      </c>
      <c r="Z198" s="26"/>
      <c r="AA198" s="26"/>
      <c r="AB198" s="26"/>
      <c r="AD198" s="26"/>
      <c r="AE198" s="26"/>
      <c r="AF198" s="26"/>
      <c r="AG198" s="26"/>
      <c r="AH198" s="26"/>
      <c r="AI198" s="26"/>
    </row>
    <row r="199" spans="1:35" x14ac:dyDescent="0.25">
      <c r="A199" s="11">
        <v>2</v>
      </c>
      <c r="B199" s="12" t="s">
        <v>373</v>
      </c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Z199" s="26"/>
      <c r="AA199" s="26"/>
      <c r="AB199" s="26"/>
      <c r="AD199" s="26"/>
      <c r="AE199" s="26"/>
      <c r="AF199" s="26"/>
      <c r="AG199" s="26"/>
      <c r="AH199" s="26"/>
      <c r="AI199" s="26"/>
    </row>
    <row r="200" spans="1:35" ht="60" x14ac:dyDescent="0.25">
      <c r="A200" s="18" t="s">
        <v>163</v>
      </c>
      <c r="B200" s="19" t="s">
        <v>372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Z200" s="26"/>
      <c r="AA200" s="26"/>
      <c r="AB200" s="26"/>
      <c r="AD200" s="26"/>
      <c r="AE200" s="26"/>
      <c r="AF200" s="26"/>
      <c r="AG200" s="26"/>
      <c r="AH200" s="26"/>
      <c r="AI200" s="26"/>
    </row>
    <row r="201" spans="1:35" x14ac:dyDescent="0.25">
      <c r="A201" s="20" t="s">
        <v>165</v>
      </c>
      <c r="B201" s="21" t="s">
        <v>371</v>
      </c>
      <c r="D201" s="26" t="s">
        <v>42</v>
      </c>
      <c r="E201" s="26" t="s">
        <v>42</v>
      </c>
      <c r="F201" s="26" t="s">
        <v>42</v>
      </c>
      <c r="G201" s="60" t="s">
        <v>42</v>
      </c>
      <c r="H201" s="26" t="s">
        <v>42</v>
      </c>
      <c r="I201" s="26" t="s">
        <v>42</v>
      </c>
      <c r="J201" s="26" t="s">
        <v>42</v>
      </c>
      <c r="K201" s="26" t="s">
        <v>42</v>
      </c>
      <c r="L201" s="26" t="s">
        <v>42</v>
      </c>
      <c r="M201" s="60" t="s">
        <v>42</v>
      </c>
      <c r="O201" s="26" t="s">
        <v>42</v>
      </c>
      <c r="P201" s="26" t="s">
        <v>42</v>
      </c>
      <c r="Q201" s="26" t="s">
        <v>42</v>
      </c>
      <c r="R201" s="26" t="s">
        <v>42</v>
      </c>
      <c r="S201" s="26" t="s">
        <v>42</v>
      </c>
      <c r="T201" s="26" t="s">
        <v>42</v>
      </c>
      <c r="U201" s="26" t="s">
        <v>42</v>
      </c>
      <c r="V201" s="26" t="s">
        <v>42</v>
      </c>
      <c r="W201" s="26" t="s">
        <v>42</v>
      </c>
      <c r="X201" s="26" t="s">
        <v>42</v>
      </c>
      <c r="Z201" s="26" t="s">
        <v>42</v>
      </c>
      <c r="AA201" s="26" t="s">
        <v>42</v>
      </c>
      <c r="AB201" s="26" t="s">
        <v>42</v>
      </c>
      <c r="AD201" s="26"/>
      <c r="AE201" s="26"/>
      <c r="AF201" s="26"/>
      <c r="AG201" s="26"/>
      <c r="AH201" s="26"/>
      <c r="AI201" s="26"/>
    </row>
    <row r="202" spans="1:35" x14ac:dyDescent="0.25">
      <c r="A202" s="20" t="s">
        <v>167</v>
      </c>
      <c r="B202" s="21" t="s">
        <v>370</v>
      </c>
      <c r="D202" s="26" t="s">
        <v>42</v>
      </c>
      <c r="E202" s="26" t="s">
        <v>42</v>
      </c>
      <c r="F202" s="26" t="s">
        <v>42</v>
      </c>
      <c r="G202" s="60" t="s">
        <v>42</v>
      </c>
      <c r="H202" s="26" t="s">
        <v>42</v>
      </c>
      <c r="I202" s="26" t="s">
        <v>42</v>
      </c>
      <c r="J202" s="26" t="s">
        <v>42</v>
      </c>
      <c r="K202" s="26" t="s">
        <v>42</v>
      </c>
      <c r="L202" s="26" t="s">
        <v>42</v>
      </c>
      <c r="M202" s="60" t="s">
        <v>42</v>
      </c>
      <c r="O202" s="26" t="s">
        <v>42</v>
      </c>
      <c r="P202" s="26" t="s">
        <v>42</v>
      </c>
      <c r="Q202" s="26" t="s">
        <v>42</v>
      </c>
      <c r="R202" s="26" t="s">
        <v>42</v>
      </c>
      <c r="S202" s="26" t="s">
        <v>42</v>
      </c>
      <c r="T202" s="26" t="s">
        <v>42</v>
      </c>
      <c r="U202" s="26" t="s">
        <v>42</v>
      </c>
      <c r="V202" s="26" t="s">
        <v>42</v>
      </c>
      <c r="W202" s="26" t="s">
        <v>42</v>
      </c>
      <c r="X202" s="26" t="s">
        <v>42</v>
      </c>
      <c r="Z202" s="26" t="s">
        <v>42</v>
      </c>
      <c r="AA202" s="26" t="s">
        <v>42</v>
      </c>
      <c r="AB202" s="26" t="s">
        <v>42</v>
      </c>
      <c r="AD202" s="26"/>
      <c r="AE202" s="26"/>
      <c r="AF202" s="26"/>
      <c r="AG202" s="26"/>
      <c r="AH202" s="26"/>
      <c r="AI202" s="26"/>
    </row>
    <row r="203" spans="1:35" x14ac:dyDescent="0.25">
      <c r="A203" s="20" t="s">
        <v>369</v>
      </c>
      <c r="B203" s="21" t="s">
        <v>368</v>
      </c>
      <c r="O203" s="26" t="s">
        <v>42</v>
      </c>
      <c r="P203" s="26" t="s">
        <v>42</v>
      </c>
      <c r="Q203" s="26" t="s">
        <v>42</v>
      </c>
      <c r="R203" s="26" t="s">
        <v>42</v>
      </c>
      <c r="S203" s="26" t="s">
        <v>42</v>
      </c>
      <c r="T203" s="26" t="s">
        <v>42</v>
      </c>
      <c r="U203" s="26" t="s">
        <v>42</v>
      </c>
      <c r="V203" s="26" t="s">
        <v>42</v>
      </c>
      <c r="W203" s="26" t="s">
        <v>42</v>
      </c>
      <c r="X203" s="26" t="s">
        <v>42</v>
      </c>
      <c r="Z203" s="26" t="s">
        <v>42</v>
      </c>
      <c r="AA203" s="26" t="s">
        <v>42</v>
      </c>
      <c r="AB203" s="26" t="s">
        <v>42</v>
      </c>
      <c r="AD203" s="26"/>
      <c r="AE203" s="26"/>
      <c r="AF203" s="26"/>
      <c r="AG203" s="26"/>
      <c r="AH203" s="26"/>
      <c r="AI203" s="26"/>
    </row>
    <row r="204" spans="1:35" x14ac:dyDescent="0.25">
      <c r="A204" s="20" t="s">
        <v>169</v>
      </c>
      <c r="B204" s="21" t="s">
        <v>367</v>
      </c>
      <c r="D204" s="26" t="s">
        <v>42</v>
      </c>
      <c r="E204" s="26" t="s">
        <v>42</v>
      </c>
      <c r="F204" s="26" t="s">
        <v>42</v>
      </c>
      <c r="G204" s="60" t="s">
        <v>42</v>
      </c>
      <c r="H204" s="26" t="s">
        <v>42</v>
      </c>
      <c r="I204" s="26" t="s">
        <v>42</v>
      </c>
      <c r="J204" s="26" t="s">
        <v>42</v>
      </c>
      <c r="K204" s="26" t="s">
        <v>42</v>
      </c>
      <c r="L204" s="26" t="s">
        <v>42</v>
      </c>
      <c r="M204" s="60" t="s">
        <v>42</v>
      </c>
      <c r="O204" s="26" t="s">
        <v>42</v>
      </c>
      <c r="P204" s="26" t="s">
        <v>42</v>
      </c>
      <c r="Q204" s="26" t="s">
        <v>42</v>
      </c>
      <c r="R204" s="26" t="s">
        <v>42</v>
      </c>
      <c r="S204" s="26" t="s">
        <v>42</v>
      </c>
      <c r="T204" s="26" t="s">
        <v>42</v>
      </c>
      <c r="U204" s="26" t="s">
        <v>42</v>
      </c>
      <c r="V204" s="26" t="s">
        <v>42</v>
      </c>
      <c r="W204" s="26" t="s">
        <v>42</v>
      </c>
      <c r="X204" s="26" t="s">
        <v>42</v>
      </c>
      <c r="Z204" s="26" t="s">
        <v>42</v>
      </c>
      <c r="AA204" s="26" t="s">
        <v>42</v>
      </c>
      <c r="AB204" s="26" t="s">
        <v>42</v>
      </c>
      <c r="AD204" s="26"/>
      <c r="AE204" s="26"/>
      <c r="AF204" s="26"/>
      <c r="AG204" s="26"/>
      <c r="AH204" s="26"/>
      <c r="AI204" s="26"/>
    </row>
    <row r="205" spans="1:35" ht="30" x14ac:dyDescent="0.25">
      <c r="A205" s="20" t="s">
        <v>175</v>
      </c>
      <c r="B205" s="21" t="s">
        <v>178</v>
      </c>
      <c r="C205" t="s">
        <v>366</v>
      </c>
      <c r="E205" s="26" t="s">
        <v>82</v>
      </c>
      <c r="F205" s="26" t="s">
        <v>82</v>
      </c>
      <c r="G205" s="60" t="s">
        <v>82</v>
      </c>
      <c r="H205" s="26" t="s">
        <v>82</v>
      </c>
      <c r="I205" s="26" t="s">
        <v>82</v>
      </c>
      <c r="O205" s="26"/>
      <c r="P205" s="26" t="s">
        <v>82</v>
      </c>
      <c r="Q205" s="26" t="s">
        <v>82</v>
      </c>
      <c r="R205" s="26" t="s">
        <v>82</v>
      </c>
      <c r="S205" s="26" t="s">
        <v>82</v>
      </c>
      <c r="T205" s="26" t="s">
        <v>82</v>
      </c>
      <c r="U205" s="26"/>
      <c r="V205" s="26"/>
      <c r="W205" s="26"/>
      <c r="X205" s="26"/>
      <c r="Z205" s="26"/>
      <c r="AA205" s="26" t="s">
        <v>82</v>
      </c>
      <c r="AB205" s="26"/>
      <c r="AD205" s="26"/>
      <c r="AE205" s="26"/>
      <c r="AF205" s="26"/>
      <c r="AG205" s="26"/>
      <c r="AH205" s="26"/>
      <c r="AI205" s="26"/>
    </row>
    <row r="206" spans="1:35" x14ac:dyDescent="0.25">
      <c r="A206" s="31" t="s">
        <v>89</v>
      </c>
      <c r="B206" s="21" t="s">
        <v>365</v>
      </c>
      <c r="O206" s="26" t="s">
        <v>42</v>
      </c>
      <c r="P206" s="26" t="s">
        <v>42</v>
      </c>
      <c r="Q206" s="26" t="s">
        <v>42</v>
      </c>
      <c r="R206" s="26" t="s">
        <v>42</v>
      </c>
      <c r="S206" s="26" t="s">
        <v>42</v>
      </c>
      <c r="T206" s="26" t="s">
        <v>42</v>
      </c>
      <c r="U206" s="26" t="s">
        <v>42</v>
      </c>
      <c r="V206" s="26" t="s">
        <v>42</v>
      </c>
      <c r="W206" s="26" t="s">
        <v>42</v>
      </c>
      <c r="X206" s="26" t="s">
        <v>42</v>
      </c>
      <c r="Z206" s="26"/>
      <c r="AA206" s="26"/>
      <c r="AB206" s="26"/>
      <c r="AD206" s="26"/>
      <c r="AE206" s="26"/>
      <c r="AF206" s="26"/>
      <c r="AG206" s="26"/>
      <c r="AH206" s="26"/>
      <c r="AI206" s="26"/>
    </row>
    <row r="207" spans="1:35" ht="30" x14ac:dyDescent="0.25">
      <c r="A207" s="18" t="s">
        <v>180</v>
      </c>
      <c r="B207" s="19" t="s">
        <v>364</v>
      </c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Z207" s="26"/>
      <c r="AA207" s="26"/>
      <c r="AB207" s="26"/>
      <c r="AD207" s="26"/>
      <c r="AE207" s="26"/>
      <c r="AF207" s="26"/>
      <c r="AG207" s="26"/>
      <c r="AH207" s="26"/>
      <c r="AI207" s="26"/>
    </row>
    <row r="208" spans="1:35" x14ac:dyDescent="0.25">
      <c r="A208" s="20" t="s">
        <v>363</v>
      </c>
      <c r="B208" s="21" t="s">
        <v>362</v>
      </c>
      <c r="C208" t="s">
        <v>347</v>
      </c>
      <c r="D208" s="26" t="s">
        <v>42</v>
      </c>
      <c r="E208" s="26" t="s">
        <v>42</v>
      </c>
      <c r="F208" s="26" t="s">
        <v>42</v>
      </c>
      <c r="G208" s="60" t="s">
        <v>42</v>
      </c>
      <c r="H208" s="26" t="s">
        <v>42</v>
      </c>
      <c r="I208" s="26" t="s">
        <v>42</v>
      </c>
      <c r="J208" s="26" t="s">
        <v>42</v>
      </c>
      <c r="K208" s="26" t="s">
        <v>42</v>
      </c>
      <c r="L208" s="26" t="s">
        <v>42</v>
      </c>
      <c r="M208" s="60" t="s">
        <v>42</v>
      </c>
      <c r="O208" s="26" t="s">
        <v>42</v>
      </c>
      <c r="P208" s="26" t="s">
        <v>42</v>
      </c>
      <c r="Q208" s="26" t="s">
        <v>42</v>
      </c>
      <c r="R208" s="26" t="s">
        <v>42</v>
      </c>
      <c r="S208" s="26" t="s">
        <v>42</v>
      </c>
      <c r="T208" s="26" t="s">
        <v>42</v>
      </c>
      <c r="U208" s="26" t="s">
        <v>42</v>
      </c>
      <c r="V208" s="26" t="s">
        <v>42</v>
      </c>
      <c r="W208" s="26" t="s">
        <v>42</v>
      </c>
      <c r="X208" s="26" t="s">
        <v>42</v>
      </c>
      <c r="Z208" s="26" t="s">
        <v>42</v>
      </c>
      <c r="AA208" s="26" t="s">
        <v>42</v>
      </c>
      <c r="AB208" s="26" t="s">
        <v>42</v>
      </c>
      <c r="AD208" s="26"/>
      <c r="AE208" s="26"/>
      <c r="AF208" s="26"/>
      <c r="AG208" s="26"/>
      <c r="AH208" s="26"/>
      <c r="AI208" s="26"/>
    </row>
    <row r="209" spans="1:35" x14ac:dyDescent="0.25">
      <c r="A209" s="20" t="s">
        <v>361</v>
      </c>
      <c r="B209" s="21" t="s">
        <v>360</v>
      </c>
      <c r="C209" t="s">
        <v>347</v>
      </c>
      <c r="D209" s="26" t="s">
        <v>42</v>
      </c>
      <c r="E209" s="26" t="s">
        <v>42</v>
      </c>
      <c r="F209" s="26" t="s">
        <v>42</v>
      </c>
      <c r="G209" s="60" t="s">
        <v>42</v>
      </c>
      <c r="H209" s="26" t="s">
        <v>42</v>
      </c>
      <c r="I209" s="26" t="s">
        <v>42</v>
      </c>
      <c r="J209" s="26" t="s">
        <v>42</v>
      </c>
      <c r="K209" s="26" t="s">
        <v>42</v>
      </c>
      <c r="L209" s="26" t="s">
        <v>42</v>
      </c>
      <c r="M209" s="60" t="s">
        <v>42</v>
      </c>
      <c r="O209" s="26" t="s">
        <v>42</v>
      </c>
      <c r="P209" s="26" t="s">
        <v>42</v>
      </c>
      <c r="Q209" s="26" t="s">
        <v>42</v>
      </c>
      <c r="R209" s="26" t="s">
        <v>42</v>
      </c>
      <c r="S209" s="26" t="s">
        <v>42</v>
      </c>
      <c r="T209" s="26" t="s">
        <v>42</v>
      </c>
      <c r="U209" s="26" t="s">
        <v>42</v>
      </c>
      <c r="V209" s="26" t="s">
        <v>42</v>
      </c>
      <c r="W209" s="26" t="s">
        <v>42</v>
      </c>
      <c r="X209" s="26" t="s">
        <v>42</v>
      </c>
      <c r="Z209" s="26" t="s">
        <v>42</v>
      </c>
      <c r="AA209" s="26" t="s">
        <v>42</v>
      </c>
      <c r="AB209" s="26" t="s">
        <v>42</v>
      </c>
      <c r="AD209" s="26"/>
      <c r="AE209" s="26"/>
      <c r="AF209" s="26"/>
      <c r="AG209" s="26"/>
      <c r="AH209" s="26"/>
      <c r="AI209" s="26"/>
    </row>
    <row r="210" spans="1:35" x14ac:dyDescent="0.25">
      <c r="A210" s="20" t="s">
        <v>359</v>
      </c>
      <c r="B210" s="21" t="s">
        <v>358</v>
      </c>
      <c r="C210" t="s">
        <v>347</v>
      </c>
      <c r="D210" s="26" t="s">
        <v>42</v>
      </c>
      <c r="E210" s="26" t="s">
        <v>42</v>
      </c>
      <c r="F210" s="26" t="s">
        <v>42</v>
      </c>
      <c r="G210" s="60" t="s">
        <v>42</v>
      </c>
      <c r="H210" s="26" t="s">
        <v>42</v>
      </c>
      <c r="I210" s="26" t="s">
        <v>42</v>
      </c>
      <c r="J210" s="26" t="s">
        <v>42</v>
      </c>
      <c r="K210" s="26" t="s">
        <v>42</v>
      </c>
      <c r="L210" s="26" t="s">
        <v>42</v>
      </c>
      <c r="M210" s="60" t="s">
        <v>42</v>
      </c>
      <c r="O210" s="26" t="s">
        <v>42</v>
      </c>
      <c r="P210" s="26" t="s">
        <v>42</v>
      </c>
      <c r="Q210" s="26" t="s">
        <v>42</v>
      </c>
      <c r="R210" s="26" t="s">
        <v>42</v>
      </c>
      <c r="S210" s="26" t="s">
        <v>42</v>
      </c>
      <c r="T210" s="26" t="s">
        <v>42</v>
      </c>
      <c r="U210" s="26" t="s">
        <v>42</v>
      </c>
      <c r="V210" s="26" t="s">
        <v>42</v>
      </c>
      <c r="W210" s="26" t="s">
        <v>42</v>
      </c>
      <c r="X210" s="26" t="s">
        <v>42</v>
      </c>
      <c r="Z210" s="26" t="s">
        <v>42</v>
      </c>
      <c r="AA210" s="26" t="s">
        <v>42</v>
      </c>
      <c r="AB210" s="26" t="s">
        <v>42</v>
      </c>
      <c r="AD210" s="26"/>
      <c r="AE210" s="26"/>
      <c r="AF210" s="26"/>
      <c r="AG210" s="26"/>
      <c r="AH210" s="26"/>
      <c r="AI210" s="26"/>
    </row>
    <row r="211" spans="1:35" x14ac:dyDescent="0.25">
      <c r="A211" s="20" t="s">
        <v>357</v>
      </c>
      <c r="B211" s="21" t="s">
        <v>356</v>
      </c>
      <c r="C211" t="s">
        <v>347</v>
      </c>
      <c r="D211" s="26" t="s">
        <v>42</v>
      </c>
      <c r="E211" s="26" t="s">
        <v>42</v>
      </c>
      <c r="F211" s="26" t="s">
        <v>42</v>
      </c>
      <c r="G211" s="60" t="s">
        <v>42</v>
      </c>
      <c r="H211" s="26" t="s">
        <v>42</v>
      </c>
      <c r="I211" s="26" t="s">
        <v>42</v>
      </c>
      <c r="J211" s="26" t="s">
        <v>42</v>
      </c>
      <c r="K211" s="26" t="s">
        <v>42</v>
      </c>
      <c r="L211" s="26" t="s">
        <v>42</v>
      </c>
      <c r="M211" s="60" t="s">
        <v>42</v>
      </c>
      <c r="O211" s="26" t="s">
        <v>42</v>
      </c>
      <c r="P211" s="26" t="s">
        <v>42</v>
      </c>
      <c r="Q211" s="26" t="s">
        <v>42</v>
      </c>
      <c r="R211" s="26" t="s">
        <v>42</v>
      </c>
      <c r="S211" s="26" t="s">
        <v>42</v>
      </c>
      <c r="T211" s="26" t="s">
        <v>42</v>
      </c>
      <c r="U211" s="26" t="s">
        <v>42</v>
      </c>
      <c r="V211" s="26" t="s">
        <v>42</v>
      </c>
      <c r="W211" s="26" t="s">
        <v>42</v>
      </c>
      <c r="X211" s="26" t="s">
        <v>42</v>
      </c>
      <c r="Z211" s="26" t="s">
        <v>42</v>
      </c>
      <c r="AA211" s="26" t="s">
        <v>42</v>
      </c>
      <c r="AB211" s="26" t="s">
        <v>42</v>
      </c>
      <c r="AD211" s="26"/>
      <c r="AE211" s="26"/>
      <c r="AF211" s="26"/>
      <c r="AG211" s="26"/>
      <c r="AH211" s="26"/>
      <c r="AI211" s="26"/>
    </row>
    <row r="212" spans="1:35" x14ac:dyDescent="0.25">
      <c r="A212" s="20" t="s">
        <v>355</v>
      </c>
      <c r="B212" s="21" t="s">
        <v>354</v>
      </c>
      <c r="C212" t="s">
        <v>347</v>
      </c>
      <c r="D212" s="26" t="s">
        <v>42</v>
      </c>
      <c r="E212" s="26" t="s">
        <v>42</v>
      </c>
      <c r="F212" s="26" t="s">
        <v>42</v>
      </c>
      <c r="G212" s="60" t="s">
        <v>42</v>
      </c>
      <c r="H212" s="26" t="s">
        <v>42</v>
      </c>
      <c r="I212" s="26" t="s">
        <v>42</v>
      </c>
      <c r="J212" s="26" t="s">
        <v>42</v>
      </c>
      <c r="K212" s="26" t="s">
        <v>42</v>
      </c>
      <c r="L212" s="26" t="s">
        <v>42</v>
      </c>
      <c r="M212" s="60" t="s">
        <v>42</v>
      </c>
      <c r="O212" s="26" t="s">
        <v>42</v>
      </c>
      <c r="P212" s="26" t="s">
        <v>42</v>
      </c>
      <c r="Q212" s="26" t="s">
        <v>42</v>
      </c>
      <c r="R212" s="26" t="s">
        <v>42</v>
      </c>
      <c r="S212" s="26" t="s">
        <v>42</v>
      </c>
      <c r="T212" s="26" t="s">
        <v>42</v>
      </c>
      <c r="U212" s="26" t="s">
        <v>42</v>
      </c>
      <c r="V212" s="26" t="s">
        <v>42</v>
      </c>
      <c r="W212" s="26" t="s">
        <v>42</v>
      </c>
      <c r="X212" s="26" t="s">
        <v>42</v>
      </c>
      <c r="Z212" s="26" t="s">
        <v>42</v>
      </c>
      <c r="AA212" s="26" t="s">
        <v>42</v>
      </c>
      <c r="AB212" s="26" t="s">
        <v>42</v>
      </c>
      <c r="AD212" s="26"/>
      <c r="AE212" s="26"/>
      <c r="AF212" s="26"/>
      <c r="AG212" s="26"/>
      <c r="AH212" s="26"/>
      <c r="AI212" s="26"/>
    </row>
    <row r="213" spans="1:35" x14ac:dyDescent="0.25">
      <c r="A213" s="20" t="s">
        <v>353</v>
      </c>
      <c r="B213" s="21" t="s">
        <v>352</v>
      </c>
      <c r="C213" t="s">
        <v>347</v>
      </c>
      <c r="D213" s="26" t="s">
        <v>42</v>
      </c>
      <c r="E213" s="26" t="s">
        <v>42</v>
      </c>
      <c r="F213" s="26" t="s">
        <v>42</v>
      </c>
      <c r="G213" s="60" t="s">
        <v>42</v>
      </c>
      <c r="H213" s="26" t="s">
        <v>42</v>
      </c>
      <c r="I213" s="26" t="s">
        <v>42</v>
      </c>
      <c r="J213" s="26" t="s">
        <v>42</v>
      </c>
      <c r="K213" s="26" t="s">
        <v>42</v>
      </c>
      <c r="L213" s="26" t="s">
        <v>42</v>
      </c>
      <c r="M213" s="60" t="s">
        <v>42</v>
      </c>
      <c r="O213" s="26" t="s">
        <v>42</v>
      </c>
      <c r="P213" s="26" t="s">
        <v>42</v>
      </c>
      <c r="Q213" s="26" t="s">
        <v>42</v>
      </c>
      <c r="R213" s="26" t="s">
        <v>42</v>
      </c>
      <c r="S213" s="26" t="s">
        <v>42</v>
      </c>
      <c r="T213" s="26" t="s">
        <v>42</v>
      </c>
      <c r="U213" s="26" t="s">
        <v>42</v>
      </c>
      <c r="V213" s="26" t="s">
        <v>42</v>
      </c>
      <c r="W213" s="26" t="s">
        <v>42</v>
      </c>
      <c r="X213" s="26" t="s">
        <v>42</v>
      </c>
      <c r="Z213" s="26" t="s">
        <v>42</v>
      </c>
      <c r="AA213" s="26" t="s">
        <v>42</v>
      </c>
      <c r="AB213" s="26" t="s">
        <v>42</v>
      </c>
      <c r="AD213" s="26"/>
      <c r="AE213" s="26"/>
      <c r="AF213" s="26"/>
      <c r="AG213" s="26"/>
      <c r="AH213" s="26"/>
      <c r="AI213" s="26"/>
    </row>
    <row r="214" spans="1:35" x14ac:dyDescent="0.25">
      <c r="A214" s="20" t="s">
        <v>351</v>
      </c>
      <c r="B214" s="21" t="s">
        <v>350</v>
      </c>
      <c r="C214" t="s">
        <v>347</v>
      </c>
      <c r="D214" s="26" t="s">
        <v>42</v>
      </c>
      <c r="E214" s="26" t="s">
        <v>42</v>
      </c>
      <c r="F214" s="26" t="s">
        <v>42</v>
      </c>
      <c r="G214" s="60" t="s">
        <v>42</v>
      </c>
      <c r="H214" s="26" t="s">
        <v>42</v>
      </c>
      <c r="I214" s="26" t="s">
        <v>42</v>
      </c>
      <c r="J214" s="26" t="s">
        <v>42</v>
      </c>
      <c r="K214" s="26" t="s">
        <v>42</v>
      </c>
      <c r="L214" s="26" t="s">
        <v>42</v>
      </c>
      <c r="M214" s="60" t="s">
        <v>42</v>
      </c>
      <c r="O214" s="26" t="s">
        <v>42</v>
      </c>
      <c r="P214" s="26" t="s">
        <v>42</v>
      </c>
      <c r="Q214" s="26" t="s">
        <v>42</v>
      </c>
      <c r="R214" s="26" t="s">
        <v>42</v>
      </c>
      <c r="S214" s="26" t="s">
        <v>42</v>
      </c>
      <c r="T214" s="26" t="s">
        <v>42</v>
      </c>
      <c r="U214" s="26" t="s">
        <v>42</v>
      </c>
      <c r="V214" s="26" t="s">
        <v>42</v>
      </c>
      <c r="W214" s="26" t="s">
        <v>42</v>
      </c>
      <c r="X214" s="26" t="s">
        <v>42</v>
      </c>
      <c r="Z214" s="26" t="s">
        <v>42</v>
      </c>
      <c r="AA214" s="26" t="s">
        <v>42</v>
      </c>
      <c r="AB214" s="26" t="s">
        <v>42</v>
      </c>
      <c r="AD214" s="26"/>
      <c r="AE214" s="26"/>
      <c r="AF214" s="26"/>
      <c r="AG214" s="26"/>
      <c r="AH214" s="26"/>
      <c r="AI214" s="26"/>
    </row>
    <row r="215" spans="1:35" x14ac:dyDescent="0.25">
      <c r="A215" s="20" t="s">
        <v>349</v>
      </c>
      <c r="B215" s="21" t="s">
        <v>348</v>
      </c>
      <c r="C215" t="s">
        <v>347</v>
      </c>
      <c r="D215" s="26" t="s">
        <v>42</v>
      </c>
      <c r="E215" s="26" t="s">
        <v>42</v>
      </c>
      <c r="F215" s="26" t="s">
        <v>42</v>
      </c>
      <c r="G215" s="60" t="s">
        <v>42</v>
      </c>
      <c r="H215" s="26" t="s">
        <v>42</v>
      </c>
      <c r="I215" s="26" t="s">
        <v>42</v>
      </c>
      <c r="J215" s="26" t="s">
        <v>42</v>
      </c>
      <c r="K215" s="26" t="s">
        <v>42</v>
      </c>
      <c r="L215" s="26" t="s">
        <v>42</v>
      </c>
      <c r="M215" s="60" t="s">
        <v>42</v>
      </c>
      <c r="O215" s="26" t="s">
        <v>42</v>
      </c>
      <c r="P215" s="26" t="s">
        <v>42</v>
      </c>
      <c r="Q215" s="26" t="s">
        <v>42</v>
      </c>
      <c r="R215" s="26" t="s">
        <v>42</v>
      </c>
      <c r="S215" s="26" t="s">
        <v>42</v>
      </c>
      <c r="T215" s="26" t="s">
        <v>42</v>
      </c>
      <c r="U215" s="26" t="s">
        <v>42</v>
      </c>
      <c r="V215" s="26" t="s">
        <v>42</v>
      </c>
      <c r="W215" s="26" t="s">
        <v>42</v>
      </c>
      <c r="X215" s="26" t="s">
        <v>42</v>
      </c>
      <c r="Z215" s="26" t="s">
        <v>42</v>
      </c>
      <c r="AA215" s="26" t="s">
        <v>42</v>
      </c>
      <c r="AB215" s="26" t="s">
        <v>42</v>
      </c>
      <c r="AD215" s="26"/>
      <c r="AE215" s="26"/>
      <c r="AF215" s="26"/>
      <c r="AG215" s="26"/>
      <c r="AH215" s="26"/>
      <c r="AI215" s="26"/>
    </row>
    <row r="216" spans="1:35" x14ac:dyDescent="0.25">
      <c r="A216" s="31" t="s">
        <v>89</v>
      </c>
      <c r="B216" s="21" t="s">
        <v>346</v>
      </c>
      <c r="D216" s="26" t="s">
        <v>42</v>
      </c>
      <c r="E216" s="26" t="s">
        <v>42</v>
      </c>
      <c r="F216" s="26" t="s">
        <v>42</v>
      </c>
      <c r="G216" s="26"/>
      <c r="J216" s="26" t="s">
        <v>42</v>
      </c>
      <c r="M216" s="26"/>
      <c r="O216" s="26" t="s">
        <v>42</v>
      </c>
      <c r="P216" s="26" t="s">
        <v>42</v>
      </c>
      <c r="Q216" s="26" t="s">
        <v>42</v>
      </c>
      <c r="R216" s="26"/>
      <c r="S216" s="26"/>
      <c r="T216" s="26"/>
      <c r="U216" s="26" t="s">
        <v>42</v>
      </c>
      <c r="V216" s="26"/>
      <c r="W216" s="26"/>
      <c r="X216" s="26"/>
      <c r="Z216" s="26"/>
      <c r="AA216" s="26"/>
      <c r="AB216" s="26"/>
      <c r="AD216" s="26"/>
      <c r="AE216" s="26"/>
      <c r="AF216" s="26"/>
      <c r="AG216" s="26"/>
      <c r="AH216" s="26"/>
      <c r="AI216" s="26"/>
    </row>
    <row r="217" spans="1:35" x14ac:dyDescent="0.25">
      <c r="A217" s="31" t="s">
        <v>89</v>
      </c>
      <c r="B217" s="21" t="s">
        <v>345</v>
      </c>
      <c r="D217" s="26" t="s">
        <v>42</v>
      </c>
      <c r="E217" s="26" t="s">
        <v>42</v>
      </c>
      <c r="F217" s="26" t="s">
        <v>42</v>
      </c>
      <c r="G217" s="26" t="s">
        <v>42</v>
      </c>
      <c r="I217" s="26" t="s">
        <v>82</v>
      </c>
      <c r="J217" s="26" t="s">
        <v>42</v>
      </c>
      <c r="K217" s="26" t="s">
        <v>42</v>
      </c>
      <c r="M217" s="26" t="s">
        <v>82</v>
      </c>
      <c r="O217" s="26" t="s">
        <v>42</v>
      </c>
      <c r="P217" s="26" t="s">
        <v>42</v>
      </c>
      <c r="Q217" s="26" t="s">
        <v>42</v>
      </c>
      <c r="R217" s="26" t="s">
        <v>42</v>
      </c>
      <c r="S217" s="26"/>
      <c r="T217" s="26" t="s">
        <v>82</v>
      </c>
      <c r="U217" s="26" t="s">
        <v>42</v>
      </c>
      <c r="V217" s="26" t="s">
        <v>42</v>
      </c>
      <c r="W217" s="26"/>
      <c r="X217" s="26" t="s">
        <v>82</v>
      </c>
      <c r="Z217" s="26"/>
      <c r="AA217" s="26"/>
      <c r="AB217" s="26"/>
      <c r="AD217" s="26"/>
      <c r="AE217" s="26"/>
      <c r="AF217" s="26"/>
      <c r="AG217" s="26"/>
      <c r="AH217" s="26"/>
      <c r="AI217" s="26"/>
    </row>
    <row r="218" spans="1:35" ht="30" x14ac:dyDescent="0.25">
      <c r="A218" s="18" t="s">
        <v>183</v>
      </c>
      <c r="B218" s="19" t="s">
        <v>344</v>
      </c>
      <c r="C218" s="45" t="s">
        <v>343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Z218" s="26"/>
      <c r="AA218" s="26"/>
      <c r="AB218" s="26"/>
      <c r="AD218" s="26"/>
      <c r="AE218" s="26"/>
      <c r="AF218" s="26"/>
      <c r="AG218" s="26"/>
      <c r="AH218" s="26"/>
      <c r="AI218" s="26"/>
    </row>
    <row r="219" spans="1:35" x14ac:dyDescent="0.25">
      <c r="A219" s="20" t="s">
        <v>185</v>
      </c>
      <c r="B219" s="21" t="s">
        <v>186</v>
      </c>
      <c r="D219" s="26" t="s">
        <v>42</v>
      </c>
      <c r="E219" s="26" t="s">
        <v>42</v>
      </c>
      <c r="F219" s="26" t="s">
        <v>42</v>
      </c>
      <c r="G219" s="60" t="s">
        <v>42</v>
      </c>
      <c r="H219" s="26" t="s">
        <v>42</v>
      </c>
      <c r="I219" s="26" t="s">
        <v>42</v>
      </c>
      <c r="O219" s="26" t="s">
        <v>42</v>
      </c>
      <c r="P219" s="26" t="s">
        <v>42</v>
      </c>
      <c r="Q219" s="26" t="s">
        <v>42</v>
      </c>
      <c r="R219" s="26" t="s">
        <v>42</v>
      </c>
      <c r="S219" s="26" t="s">
        <v>42</v>
      </c>
      <c r="T219" s="26" t="s">
        <v>42</v>
      </c>
      <c r="U219" s="26"/>
      <c r="V219" s="26"/>
      <c r="W219" s="26"/>
      <c r="X219" s="26"/>
      <c r="Z219" s="26" t="s">
        <v>42</v>
      </c>
      <c r="AA219" s="26" t="s">
        <v>42</v>
      </c>
      <c r="AB219" s="26"/>
      <c r="AD219" s="26"/>
      <c r="AE219" s="26"/>
      <c r="AF219" s="26"/>
      <c r="AG219" s="26"/>
      <c r="AH219" s="26"/>
      <c r="AI219" s="26"/>
    </row>
    <row r="220" spans="1:35" x14ac:dyDescent="0.25">
      <c r="A220" s="20" t="s">
        <v>187</v>
      </c>
      <c r="B220" s="21" t="s">
        <v>188</v>
      </c>
      <c r="D220" s="26" t="s">
        <v>42</v>
      </c>
      <c r="E220" s="26" t="s">
        <v>42</v>
      </c>
      <c r="F220" s="26" t="s">
        <v>42</v>
      </c>
      <c r="G220" s="60" t="s">
        <v>42</v>
      </c>
      <c r="H220" s="26" t="s">
        <v>42</v>
      </c>
      <c r="I220" s="26" t="s">
        <v>42</v>
      </c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Z220" s="26"/>
      <c r="AA220" s="26"/>
      <c r="AB220" s="26"/>
      <c r="AD220" s="26"/>
      <c r="AE220" s="26"/>
      <c r="AF220" s="26"/>
      <c r="AG220" s="26"/>
      <c r="AH220" s="26"/>
      <c r="AI220" s="26"/>
    </row>
    <row r="221" spans="1:35" x14ac:dyDescent="0.25">
      <c r="A221" s="20" t="s">
        <v>189</v>
      </c>
      <c r="B221" s="21" t="s">
        <v>342</v>
      </c>
      <c r="O221" s="26" t="s">
        <v>42</v>
      </c>
      <c r="P221" s="26" t="s">
        <v>42</v>
      </c>
      <c r="Q221" s="26" t="s">
        <v>42</v>
      </c>
      <c r="R221" s="26" t="s">
        <v>42</v>
      </c>
      <c r="S221" s="26" t="s">
        <v>42</v>
      </c>
      <c r="T221" s="26" t="s">
        <v>42</v>
      </c>
      <c r="U221" s="26"/>
      <c r="V221" s="26"/>
      <c r="W221" s="26"/>
      <c r="X221" s="26"/>
      <c r="Z221" s="26" t="s">
        <v>42</v>
      </c>
      <c r="AA221" s="26" t="s">
        <v>42</v>
      </c>
      <c r="AB221" s="26"/>
      <c r="AD221" s="26"/>
      <c r="AE221" s="26"/>
      <c r="AF221" s="26"/>
      <c r="AG221" s="26"/>
      <c r="AH221" s="26"/>
      <c r="AI221" s="26"/>
    </row>
    <row r="222" spans="1:35" x14ac:dyDescent="0.25">
      <c r="A222" s="20" t="s">
        <v>191</v>
      </c>
      <c r="B222" s="21" t="s">
        <v>192</v>
      </c>
      <c r="D222" s="26" t="s">
        <v>42</v>
      </c>
      <c r="E222" s="26" t="s">
        <v>42</v>
      </c>
      <c r="F222" s="26" t="s">
        <v>42</v>
      </c>
      <c r="G222" s="60" t="s">
        <v>42</v>
      </c>
      <c r="H222" s="26" t="s">
        <v>42</v>
      </c>
      <c r="I222" s="26" t="s">
        <v>42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Z222" s="26"/>
      <c r="AA222" s="26"/>
      <c r="AB222" s="26"/>
      <c r="AD222" s="26"/>
      <c r="AE222" s="26"/>
      <c r="AF222" s="26"/>
      <c r="AG222" s="26"/>
      <c r="AH222" s="26"/>
      <c r="AI222" s="26"/>
    </row>
    <row r="223" spans="1:35" x14ac:dyDescent="0.25">
      <c r="A223" s="20" t="s">
        <v>193</v>
      </c>
      <c r="B223" s="21" t="s">
        <v>194</v>
      </c>
      <c r="C223" s="21" t="s">
        <v>195</v>
      </c>
      <c r="D223" s="26" t="s">
        <v>82</v>
      </c>
      <c r="E223" s="26" t="s">
        <v>82</v>
      </c>
      <c r="F223" s="26" t="s">
        <v>82</v>
      </c>
      <c r="G223" s="26" t="s">
        <v>82</v>
      </c>
      <c r="H223" s="26" t="s">
        <v>82</v>
      </c>
      <c r="I223" s="26" t="s">
        <v>82</v>
      </c>
      <c r="O223" s="26" t="s">
        <v>82</v>
      </c>
      <c r="P223" s="26" t="s">
        <v>82</v>
      </c>
      <c r="Q223" s="26" t="s">
        <v>82</v>
      </c>
      <c r="R223" s="26" t="s">
        <v>82</v>
      </c>
      <c r="S223" s="26" t="s">
        <v>82</v>
      </c>
      <c r="T223" s="26" t="s">
        <v>82</v>
      </c>
      <c r="U223" s="26"/>
      <c r="V223" s="26"/>
      <c r="W223" s="26"/>
      <c r="X223" s="26"/>
      <c r="Z223" s="26" t="s">
        <v>82</v>
      </c>
      <c r="AA223" s="26" t="s">
        <v>82</v>
      </c>
      <c r="AB223" s="26"/>
      <c r="AD223" s="26"/>
      <c r="AE223" s="26"/>
      <c r="AF223" s="26"/>
      <c r="AG223" s="26"/>
      <c r="AH223" s="26"/>
      <c r="AI223" s="26"/>
    </row>
    <row r="224" spans="1:35" x14ac:dyDescent="0.25">
      <c r="A224" s="20" t="s">
        <v>196</v>
      </c>
      <c r="B224" s="21" t="s">
        <v>197</v>
      </c>
      <c r="C224" s="21" t="s">
        <v>195</v>
      </c>
      <c r="D224" s="26" t="s">
        <v>82</v>
      </c>
      <c r="E224" s="26" t="s">
        <v>82</v>
      </c>
      <c r="F224" s="26" t="s">
        <v>82</v>
      </c>
      <c r="G224" s="26" t="s">
        <v>82</v>
      </c>
      <c r="H224" s="26" t="s">
        <v>82</v>
      </c>
      <c r="I224" s="26" t="s">
        <v>82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Z224" s="26"/>
      <c r="AA224" s="26"/>
      <c r="AB224" s="26"/>
      <c r="AD224" s="26"/>
      <c r="AE224" s="26"/>
      <c r="AF224" s="26"/>
      <c r="AG224" s="26"/>
      <c r="AH224" s="26"/>
      <c r="AI224" s="26"/>
    </row>
    <row r="225" spans="1:35" x14ac:dyDescent="0.25">
      <c r="A225" s="20" t="s">
        <v>198</v>
      </c>
      <c r="B225" s="21" t="s">
        <v>199</v>
      </c>
      <c r="C225" s="21" t="s">
        <v>195</v>
      </c>
      <c r="O225" s="26" t="s">
        <v>82</v>
      </c>
      <c r="P225" s="26" t="s">
        <v>82</v>
      </c>
      <c r="Q225" s="26" t="s">
        <v>82</v>
      </c>
      <c r="R225" s="26" t="s">
        <v>82</v>
      </c>
      <c r="S225" s="26" t="s">
        <v>82</v>
      </c>
      <c r="T225" s="26" t="s">
        <v>82</v>
      </c>
      <c r="U225" s="26"/>
      <c r="V225" s="26"/>
      <c r="W225" s="26"/>
      <c r="X225" s="26"/>
      <c r="Z225" s="26" t="s">
        <v>82</v>
      </c>
      <c r="AA225" s="26" t="s">
        <v>82</v>
      </c>
      <c r="AB225" s="26"/>
      <c r="AD225" s="26"/>
      <c r="AE225" s="26"/>
      <c r="AF225" s="26"/>
      <c r="AG225" s="26"/>
      <c r="AH225" s="26"/>
      <c r="AI225" s="26"/>
    </row>
    <row r="226" spans="1:35" x14ac:dyDescent="0.25">
      <c r="A226" s="20" t="s">
        <v>200</v>
      </c>
      <c r="B226" s="21" t="s">
        <v>201</v>
      </c>
      <c r="C226" s="21" t="s">
        <v>195</v>
      </c>
      <c r="D226" s="26" t="s">
        <v>82</v>
      </c>
      <c r="E226" s="26" t="s">
        <v>82</v>
      </c>
      <c r="F226" s="26" t="s">
        <v>82</v>
      </c>
      <c r="G226" s="26" t="s">
        <v>82</v>
      </c>
      <c r="H226" s="26" t="s">
        <v>82</v>
      </c>
      <c r="I226" s="26" t="s">
        <v>82</v>
      </c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Z226" s="26"/>
      <c r="AA226" s="26"/>
      <c r="AB226" s="26"/>
      <c r="AD226" s="26"/>
      <c r="AE226" s="26"/>
      <c r="AF226" s="26"/>
      <c r="AG226" s="26"/>
      <c r="AH226" s="26"/>
      <c r="AI226" s="26"/>
    </row>
    <row r="227" spans="1:35" ht="60" x14ac:dyDescent="0.25">
      <c r="A227" s="20" t="s">
        <v>202</v>
      </c>
      <c r="B227" s="21" t="s">
        <v>341</v>
      </c>
      <c r="C227" s="45" t="s">
        <v>340</v>
      </c>
      <c r="D227" s="26" t="s">
        <v>42</v>
      </c>
      <c r="E227" s="26" t="s">
        <v>42</v>
      </c>
      <c r="F227" s="26" t="s">
        <v>42</v>
      </c>
      <c r="G227" s="60" t="s">
        <v>42</v>
      </c>
      <c r="H227" s="26" t="s">
        <v>42</v>
      </c>
      <c r="I227" s="26" t="s">
        <v>42</v>
      </c>
      <c r="J227" s="26" t="s">
        <v>42</v>
      </c>
      <c r="K227" s="26" t="s">
        <v>42</v>
      </c>
      <c r="L227" s="26" t="s">
        <v>42</v>
      </c>
      <c r="M227" s="60" t="s">
        <v>42</v>
      </c>
      <c r="O227" s="26" t="s">
        <v>42</v>
      </c>
      <c r="P227" s="26" t="s">
        <v>42</v>
      </c>
      <c r="Q227" s="26" t="s">
        <v>42</v>
      </c>
      <c r="R227" s="26" t="s">
        <v>42</v>
      </c>
      <c r="S227" s="26" t="s">
        <v>42</v>
      </c>
      <c r="T227" s="26" t="s">
        <v>42</v>
      </c>
      <c r="U227" s="26" t="s">
        <v>42</v>
      </c>
      <c r="V227" s="26" t="s">
        <v>42</v>
      </c>
      <c r="W227" s="26" t="s">
        <v>42</v>
      </c>
      <c r="X227" s="26" t="s">
        <v>42</v>
      </c>
      <c r="Z227" s="26" t="s">
        <v>42</v>
      </c>
      <c r="AA227" s="26" t="s">
        <v>42</v>
      </c>
      <c r="AB227" s="68" t="s">
        <v>42</v>
      </c>
      <c r="AD227" s="26"/>
      <c r="AE227" s="26"/>
      <c r="AF227" s="26"/>
      <c r="AG227" s="26"/>
      <c r="AH227" s="26"/>
      <c r="AI227" s="26"/>
    </row>
    <row r="228" spans="1:35" x14ac:dyDescent="0.25">
      <c r="A228" s="20" t="s">
        <v>204</v>
      </c>
      <c r="B228" s="21" t="s">
        <v>205</v>
      </c>
      <c r="D228" s="26" t="s">
        <v>42</v>
      </c>
      <c r="E228" s="26" t="s">
        <v>42</v>
      </c>
      <c r="F228" s="26" t="s">
        <v>42</v>
      </c>
      <c r="G228" s="60" t="s">
        <v>42</v>
      </c>
      <c r="H228" s="26" t="s">
        <v>42</v>
      </c>
      <c r="I228" s="26" t="s">
        <v>42</v>
      </c>
      <c r="J228" s="26" t="s">
        <v>42</v>
      </c>
      <c r="K228" s="26" t="s">
        <v>42</v>
      </c>
      <c r="L228" s="26" t="s">
        <v>42</v>
      </c>
      <c r="M228" s="60" t="s">
        <v>42</v>
      </c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Z228" s="26"/>
      <c r="AA228" s="26"/>
      <c r="AB228" s="26"/>
      <c r="AD228" s="26"/>
      <c r="AE228" s="26"/>
      <c r="AF228" s="26"/>
      <c r="AG228" s="26"/>
      <c r="AH228" s="26"/>
      <c r="AI228" s="26"/>
    </row>
    <row r="229" spans="1:35" ht="30" x14ac:dyDescent="0.25">
      <c r="A229" s="20" t="s">
        <v>206</v>
      </c>
      <c r="B229" s="21" t="s">
        <v>207</v>
      </c>
      <c r="O229" s="26" t="s">
        <v>42</v>
      </c>
      <c r="P229" s="26" t="s">
        <v>42</v>
      </c>
      <c r="Q229" s="26" t="s">
        <v>42</v>
      </c>
      <c r="R229" s="26" t="s">
        <v>42</v>
      </c>
      <c r="S229" s="26" t="s">
        <v>42</v>
      </c>
      <c r="T229" s="26" t="s">
        <v>42</v>
      </c>
      <c r="U229" s="26" t="s">
        <v>42</v>
      </c>
      <c r="V229" s="26" t="s">
        <v>42</v>
      </c>
      <c r="W229" s="26" t="s">
        <v>42</v>
      </c>
      <c r="X229" s="26" t="s">
        <v>42</v>
      </c>
      <c r="Z229" s="26" t="s">
        <v>42</v>
      </c>
      <c r="AA229" s="26" t="s">
        <v>42</v>
      </c>
      <c r="AB229" s="68" t="s">
        <v>42</v>
      </c>
      <c r="AD229" s="26"/>
      <c r="AE229" s="26"/>
      <c r="AF229" s="26"/>
      <c r="AG229" s="26"/>
      <c r="AH229" s="26"/>
      <c r="AI229" s="26"/>
    </row>
    <row r="230" spans="1:35" ht="30" x14ac:dyDescent="0.25">
      <c r="A230" s="20" t="s">
        <v>208</v>
      </c>
      <c r="B230" s="21" t="s">
        <v>209</v>
      </c>
      <c r="D230" s="26" t="s">
        <v>42</v>
      </c>
      <c r="E230" s="26" t="s">
        <v>42</v>
      </c>
      <c r="F230" s="26" t="s">
        <v>42</v>
      </c>
      <c r="G230" s="60" t="s">
        <v>42</v>
      </c>
      <c r="H230" s="26" t="s">
        <v>42</v>
      </c>
      <c r="I230" s="26" t="s">
        <v>42</v>
      </c>
      <c r="J230" s="26" t="s">
        <v>42</v>
      </c>
      <c r="K230" s="26" t="s">
        <v>42</v>
      </c>
      <c r="L230" s="26" t="s">
        <v>42</v>
      </c>
      <c r="M230" s="60" t="s">
        <v>42</v>
      </c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Z230" s="26"/>
      <c r="AA230" s="26"/>
      <c r="AB230" s="26"/>
      <c r="AD230" s="26"/>
      <c r="AE230" s="26"/>
      <c r="AF230" s="26"/>
      <c r="AG230" s="26"/>
      <c r="AH230" s="26"/>
      <c r="AI230" s="26"/>
    </row>
    <row r="231" spans="1:35" x14ac:dyDescent="0.25">
      <c r="A231" s="20" t="s">
        <v>339</v>
      </c>
      <c r="B231" s="21" t="s">
        <v>213</v>
      </c>
      <c r="D231" s="26" t="s">
        <v>42</v>
      </c>
      <c r="E231" s="26" t="s">
        <v>42</v>
      </c>
      <c r="F231" s="26" t="s">
        <v>42</v>
      </c>
      <c r="G231" s="60" t="s">
        <v>42</v>
      </c>
      <c r="H231" s="26" t="s">
        <v>42</v>
      </c>
      <c r="I231" s="26" t="s">
        <v>42</v>
      </c>
      <c r="O231" s="26" t="s">
        <v>42</v>
      </c>
      <c r="P231" s="26" t="s">
        <v>42</v>
      </c>
      <c r="Q231" s="26" t="s">
        <v>42</v>
      </c>
      <c r="R231" s="26" t="s">
        <v>42</v>
      </c>
      <c r="S231" s="26" t="s">
        <v>42</v>
      </c>
      <c r="T231" s="26" t="s">
        <v>42</v>
      </c>
      <c r="U231" s="26"/>
      <c r="V231" s="26"/>
      <c r="W231" s="26"/>
      <c r="X231" s="26"/>
      <c r="Z231" s="26" t="s">
        <v>42</v>
      </c>
      <c r="AA231" s="26" t="s">
        <v>42</v>
      </c>
      <c r="AB231" s="26"/>
      <c r="AD231" s="26"/>
      <c r="AE231" s="26"/>
      <c r="AF231" s="26"/>
      <c r="AG231" s="26"/>
      <c r="AH231" s="26"/>
      <c r="AI231" s="26"/>
    </row>
    <row r="232" spans="1:35" x14ac:dyDescent="0.25">
      <c r="A232" s="20" t="s">
        <v>338</v>
      </c>
      <c r="B232" s="21" t="s">
        <v>215</v>
      </c>
      <c r="D232" s="26" t="s">
        <v>42</v>
      </c>
      <c r="E232" s="26" t="s">
        <v>42</v>
      </c>
      <c r="F232" s="26" t="s">
        <v>42</v>
      </c>
      <c r="G232" s="60" t="s">
        <v>42</v>
      </c>
      <c r="H232" s="26" t="s">
        <v>42</v>
      </c>
      <c r="I232" s="26" t="s">
        <v>42</v>
      </c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Z232" s="26"/>
      <c r="AA232" s="26"/>
      <c r="AB232" s="26"/>
      <c r="AD232" s="26"/>
      <c r="AE232" s="26"/>
      <c r="AF232" s="26"/>
      <c r="AG232" s="26"/>
      <c r="AH232" s="26"/>
      <c r="AI232" s="26"/>
    </row>
    <row r="233" spans="1:35" x14ac:dyDescent="0.25">
      <c r="A233" s="20" t="s">
        <v>337</v>
      </c>
      <c r="B233" s="21" t="s">
        <v>217</v>
      </c>
      <c r="O233" s="26" t="s">
        <v>42</v>
      </c>
      <c r="P233" s="26" t="s">
        <v>42</v>
      </c>
      <c r="Q233" s="26" t="s">
        <v>42</v>
      </c>
      <c r="R233" s="26" t="s">
        <v>42</v>
      </c>
      <c r="S233" s="26" t="s">
        <v>42</v>
      </c>
      <c r="T233" s="26" t="s">
        <v>42</v>
      </c>
      <c r="U233" s="26"/>
      <c r="V233" s="26"/>
      <c r="W233" s="26"/>
      <c r="X233" s="26"/>
      <c r="Z233" s="26" t="s">
        <v>42</v>
      </c>
      <c r="AA233" s="26" t="s">
        <v>42</v>
      </c>
      <c r="AB233" s="26"/>
      <c r="AD233" s="26"/>
      <c r="AE233" s="26"/>
      <c r="AF233" s="26"/>
      <c r="AG233" s="26"/>
      <c r="AH233" s="26"/>
      <c r="AI233" s="26"/>
    </row>
    <row r="234" spans="1:35" x14ac:dyDescent="0.25">
      <c r="A234" s="20" t="s">
        <v>336</v>
      </c>
      <c r="B234" s="21" t="s">
        <v>219</v>
      </c>
      <c r="D234" s="26" t="s">
        <v>42</v>
      </c>
      <c r="E234" s="26" t="s">
        <v>42</v>
      </c>
      <c r="F234" s="26" t="s">
        <v>42</v>
      </c>
      <c r="G234" s="60" t="s">
        <v>42</v>
      </c>
      <c r="H234" s="26" t="s">
        <v>42</v>
      </c>
      <c r="I234" s="26" t="s">
        <v>42</v>
      </c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Z234" s="26"/>
      <c r="AA234" s="26"/>
      <c r="AB234" s="26"/>
      <c r="AD234" s="26"/>
      <c r="AE234" s="26"/>
      <c r="AF234" s="26"/>
      <c r="AG234" s="26"/>
      <c r="AH234" s="26"/>
      <c r="AI234" s="26"/>
    </row>
    <row r="235" spans="1:35" x14ac:dyDescent="0.25">
      <c r="A235" s="31" t="s">
        <v>89</v>
      </c>
      <c r="B235" s="27" t="s">
        <v>220</v>
      </c>
      <c r="O235" s="26"/>
      <c r="P235" s="26"/>
      <c r="Q235" s="26"/>
      <c r="R235" s="26"/>
      <c r="S235" s="26"/>
      <c r="T235" s="26"/>
      <c r="U235" s="64" t="s">
        <v>82</v>
      </c>
      <c r="V235" s="64" t="s">
        <v>82</v>
      </c>
      <c r="W235" s="64" t="s">
        <v>82</v>
      </c>
      <c r="X235" s="64" t="s">
        <v>82</v>
      </c>
      <c r="Z235" s="26"/>
      <c r="AA235" s="26"/>
      <c r="AB235" s="64" t="s">
        <v>82</v>
      </c>
      <c r="AD235" s="26"/>
      <c r="AE235" s="26"/>
      <c r="AF235" s="26"/>
      <c r="AG235" s="26"/>
      <c r="AH235" s="26"/>
      <c r="AI235" s="26"/>
    </row>
    <row r="236" spans="1:35" x14ac:dyDescent="0.25">
      <c r="A236" s="31" t="s">
        <v>89</v>
      </c>
      <c r="B236" s="27" t="s">
        <v>221</v>
      </c>
      <c r="O236" s="26"/>
      <c r="P236" s="26"/>
      <c r="Q236" s="26"/>
      <c r="R236" s="26"/>
      <c r="S236" s="26"/>
      <c r="T236" s="26"/>
      <c r="U236" s="64" t="s">
        <v>82</v>
      </c>
      <c r="V236" s="64" t="s">
        <v>82</v>
      </c>
      <c r="W236" s="64" t="s">
        <v>82</v>
      </c>
      <c r="X236" s="64" t="s">
        <v>82</v>
      </c>
      <c r="Z236" s="26"/>
      <c r="AA236" s="26"/>
      <c r="AB236" s="64" t="s">
        <v>82</v>
      </c>
      <c r="AD236" s="26"/>
      <c r="AE236" s="26"/>
      <c r="AF236" s="26"/>
      <c r="AG236" s="26"/>
      <c r="AH236" s="26"/>
      <c r="AI236" s="26"/>
    </row>
    <row r="237" spans="1:35" x14ac:dyDescent="0.25">
      <c r="A237" s="31" t="s">
        <v>89</v>
      </c>
      <c r="B237" s="21" t="s">
        <v>222</v>
      </c>
      <c r="C237" t="s">
        <v>223</v>
      </c>
      <c r="E237" s="64" t="s">
        <v>82</v>
      </c>
      <c r="F237" s="64" t="s">
        <v>82</v>
      </c>
      <c r="G237" s="65" t="s">
        <v>82</v>
      </c>
      <c r="H237" s="64" t="s">
        <v>82</v>
      </c>
      <c r="I237" s="64" t="s">
        <v>82</v>
      </c>
      <c r="O237" s="64" t="s">
        <v>82</v>
      </c>
      <c r="P237" s="64" t="s">
        <v>82</v>
      </c>
      <c r="Q237" s="64" t="s">
        <v>82</v>
      </c>
      <c r="R237" s="64" t="s">
        <v>82</v>
      </c>
      <c r="S237" s="64" t="s">
        <v>82</v>
      </c>
      <c r="T237" s="64" t="s">
        <v>82</v>
      </c>
      <c r="Z237" s="26"/>
      <c r="AA237" s="64" t="s">
        <v>82</v>
      </c>
      <c r="AD237" s="26"/>
      <c r="AE237" s="26"/>
      <c r="AF237" s="26"/>
      <c r="AG237" s="26"/>
      <c r="AH237" s="26"/>
      <c r="AI237" s="26"/>
    </row>
    <row r="238" spans="1:35" x14ac:dyDescent="0.25">
      <c r="A238" s="67" t="s">
        <v>210</v>
      </c>
      <c r="B238" s="66" t="s">
        <v>335</v>
      </c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Z238" s="26"/>
      <c r="AA238" s="26"/>
      <c r="AB238" s="26"/>
      <c r="AD238" s="26"/>
      <c r="AE238" s="26"/>
      <c r="AF238" s="26"/>
      <c r="AG238" s="26"/>
      <c r="AH238" s="26"/>
      <c r="AI238" s="26"/>
    </row>
    <row r="239" spans="1:35" x14ac:dyDescent="0.25">
      <c r="A239" s="20" t="s">
        <v>212</v>
      </c>
      <c r="B239" s="21" t="s">
        <v>227</v>
      </c>
      <c r="C239" t="s">
        <v>228</v>
      </c>
      <c r="E239" s="64" t="s">
        <v>82</v>
      </c>
      <c r="F239" s="64" t="s">
        <v>82</v>
      </c>
      <c r="G239" s="65" t="s">
        <v>82</v>
      </c>
      <c r="H239" s="64" t="s">
        <v>82</v>
      </c>
      <c r="I239" s="64" t="s">
        <v>82</v>
      </c>
      <c r="J239" s="26" t="s">
        <v>42</v>
      </c>
      <c r="K239" s="26" t="s">
        <v>42</v>
      </c>
      <c r="L239" s="26" t="s">
        <v>42</v>
      </c>
      <c r="M239" s="60" t="s">
        <v>42</v>
      </c>
      <c r="O239" s="26"/>
      <c r="P239" s="64" t="s">
        <v>82</v>
      </c>
      <c r="Q239" s="64" t="s">
        <v>82</v>
      </c>
      <c r="R239" s="64" t="s">
        <v>82</v>
      </c>
      <c r="S239" s="64" t="s">
        <v>82</v>
      </c>
      <c r="T239" s="64" t="s">
        <v>82</v>
      </c>
      <c r="U239" s="26" t="s">
        <v>42</v>
      </c>
      <c r="V239" s="26" t="s">
        <v>42</v>
      </c>
      <c r="W239" s="26" t="s">
        <v>42</v>
      </c>
      <c r="X239" s="26" t="s">
        <v>42</v>
      </c>
      <c r="Z239" s="26"/>
      <c r="AA239" s="64" t="s">
        <v>82</v>
      </c>
      <c r="AB239" s="26" t="s">
        <v>42</v>
      </c>
      <c r="AD239" s="26"/>
      <c r="AE239" s="26"/>
      <c r="AF239" s="26"/>
      <c r="AG239" s="26"/>
      <c r="AH239" s="26"/>
      <c r="AI239" s="26"/>
    </row>
    <row r="240" spans="1:35" x14ac:dyDescent="0.25">
      <c r="A240" s="20" t="s">
        <v>214</v>
      </c>
      <c r="B240" s="21" t="s">
        <v>230</v>
      </c>
      <c r="C240" t="s">
        <v>228</v>
      </c>
      <c r="E240" s="64" t="s">
        <v>82</v>
      </c>
      <c r="F240" s="64" t="s">
        <v>82</v>
      </c>
      <c r="G240" s="65" t="s">
        <v>82</v>
      </c>
      <c r="H240" s="64" t="s">
        <v>82</v>
      </c>
      <c r="I240" s="64" t="s">
        <v>82</v>
      </c>
      <c r="J240" s="26" t="s">
        <v>42</v>
      </c>
      <c r="K240" s="26" t="s">
        <v>42</v>
      </c>
      <c r="L240" s="26" t="s">
        <v>42</v>
      </c>
      <c r="M240" s="60" t="s">
        <v>42</v>
      </c>
      <c r="O240" s="26"/>
      <c r="P240" s="64" t="s">
        <v>82</v>
      </c>
      <c r="Q240" s="64" t="s">
        <v>82</v>
      </c>
      <c r="R240" s="64" t="s">
        <v>82</v>
      </c>
      <c r="S240" s="64" t="s">
        <v>82</v>
      </c>
      <c r="T240" s="64" t="s">
        <v>82</v>
      </c>
      <c r="U240" s="26" t="s">
        <v>42</v>
      </c>
      <c r="V240" s="26" t="s">
        <v>42</v>
      </c>
      <c r="W240" s="26" t="s">
        <v>42</v>
      </c>
      <c r="X240" s="26" t="s">
        <v>42</v>
      </c>
      <c r="Z240" s="26"/>
      <c r="AA240" s="64" t="s">
        <v>82</v>
      </c>
      <c r="AB240" s="26" t="s">
        <v>42</v>
      </c>
      <c r="AD240" s="26"/>
      <c r="AE240" s="26"/>
      <c r="AF240" s="26"/>
      <c r="AG240" s="26"/>
      <c r="AH240" s="26"/>
      <c r="AI240" s="26"/>
    </row>
    <row r="241" spans="1:35" x14ac:dyDescent="0.25">
      <c r="A241" s="20" t="s">
        <v>216</v>
      </c>
      <c r="B241" t="s">
        <v>232</v>
      </c>
      <c r="C241" t="s">
        <v>233</v>
      </c>
      <c r="E241" s="64" t="s">
        <v>82</v>
      </c>
      <c r="F241" s="64" t="s">
        <v>82</v>
      </c>
      <c r="G241" s="65" t="s">
        <v>82</v>
      </c>
      <c r="H241" s="64" t="s">
        <v>82</v>
      </c>
      <c r="I241" s="64" t="s">
        <v>82</v>
      </c>
      <c r="J241" s="26" t="s">
        <v>42</v>
      </c>
      <c r="K241" s="26" t="s">
        <v>42</v>
      </c>
      <c r="L241" s="26" t="s">
        <v>42</v>
      </c>
      <c r="M241" s="60" t="s">
        <v>42</v>
      </c>
      <c r="O241" s="26"/>
      <c r="P241" s="64" t="s">
        <v>82</v>
      </c>
      <c r="Q241" s="64" t="s">
        <v>82</v>
      </c>
      <c r="R241" s="64" t="s">
        <v>82</v>
      </c>
      <c r="S241" s="64" t="s">
        <v>82</v>
      </c>
      <c r="T241" s="64" t="s">
        <v>82</v>
      </c>
      <c r="U241" s="26" t="s">
        <v>42</v>
      </c>
      <c r="V241" s="26" t="s">
        <v>42</v>
      </c>
      <c r="W241" s="26" t="s">
        <v>42</v>
      </c>
      <c r="X241" s="26" t="s">
        <v>42</v>
      </c>
      <c r="Z241" s="26"/>
      <c r="AA241" s="64" t="s">
        <v>82</v>
      </c>
      <c r="AB241" s="26" t="s">
        <v>42</v>
      </c>
      <c r="AD241" s="26"/>
      <c r="AE241" s="26"/>
      <c r="AF241" s="26"/>
      <c r="AG241" s="26"/>
      <c r="AH241" s="26"/>
      <c r="AI241" s="26"/>
    </row>
    <row r="242" spans="1:35" x14ac:dyDescent="0.25">
      <c r="A242" s="11">
        <v>3</v>
      </c>
      <c r="B242" s="12" t="s">
        <v>257</v>
      </c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Z242" s="26"/>
      <c r="AA242" s="26"/>
      <c r="AB242" s="26"/>
      <c r="AD242" s="26"/>
      <c r="AE242" s="26"/>
      <c r="AF242" s="26"/>
      <c r="AG242" s="26"/>
      <c r="AH242" s="26"/>
      <c r="AI242" s="26"/>
    </row>
    <row r="243" spans="1:35" x14ac:dyDescent="0.25">
      <c r="A243" s="61" t="s">
        <v>258</v>
      </c>
      <c r="B243" s="27" t="s">
        <v>334</v>
      </c>
      <c r="D243" s="26" t="s">
        <v>42</v>
      </c>
      <c r="E243" s="26" t="s">
        <v>42</v>
      </c>
      <c r="F243" s="26" t="s">
        <v>42</v>
      </c>
      <c r="G243" s="60" t="s">
        <v>42</v>
      </c>
      <c r="H243" s="26" t="s">
        <v>42</v>
      </c>
      <c r="I243" s="26" t="s">
        <v>42</v>
      </c>
      <c r="J243" s="26" t="s">
        <v>42</v>
      </c>
      <c r="K243" s="26" t="s">
        <v>42</v>
      </c>
      <c r="L243" s="26" t="s">
        <v>42</v>
      </c>
      <c r="M243" s="60" t="s">
        <v>42</v>
      </c>
      <c r="O243" s="26" t="s">
        <v>42</v>
      </c>
      <c r="P243" s="26" t="s">
        <v>42</v>
      </c>
      <c r="Q243" s="26" t="s">
        <v>42</v>
      </c>
      <c r="R243" s="26" t="s">
        <v>42</v>
      </c>
      <c r="S243" s="26" t="s">
        <v>42</v>
      </c>
      <c r="T243" s="26" t="s">
        <v>42</v>
      </c>
      <c r="U243" s="26" t="s">
        <v>42</v>
      </c>
      <c r="V243" s="26" t="s">
        <v>42</v>
      </c>
      <c r="W243" s="26" t="s">
        <v>42</v>
      </c>
      <c r="X243" s="26" t="s">
        <v>42</v>
      </c>
      <c r="Z243" s="26" t="s">
        <v>42</v>
      </c>
      <c r="AA243" s="26" t="s">
        <v>42</v>
      </c>
      <c r="AB243" s="26" t="s">
        <v>42</v>
      </c>
      <c r="AD243" s="26" t="s">
        <v>42</v>
      </c>
      <c r="AE243" s="26" t="s">
        <v>42</v>
      </c>
      <c r="AF243" s="26" t="s">
        <v>42</v>
      </c>
      <c r="AG243" s="26"/>
      <c r="AH243" s="26"/>
      <c r="AI243" s="26"/>
    </row>
    <row r="244" spans="1:35" x14ac:dyDescent="0.25">
      <c r="A244" s="61" t="s">
        <v>260</v>
      </c>
      <c r="B244" s="27" t="s">
        <v>333</v>
      </c>
      <c r="D244" s="26" t="s">
        <v>42</v>
      </c>
      <c r="E244" s="26" t="s">
        <v>42</v>
      </c>
      <c r="F244" s="26" t="s">
        <v>42</v>
      </c>
      <c r="G244" s="60" t="s">
        <v>42</v>
      </c>
      <c r="H244" s="26" t="s">
        <v>42</v>
      </c>
      <c r="I244" s="26" t="s">
        <v>42</v>
      </c>
      <c r="J244" s="26" t="s">
        <v>42</v>
      </c>
      <c r="K244" s="26" t="s">
        <v>42</v>
      </c>
      <c r="L244" s="26" t="s">
        <v>42</v>
      </c>
      <c r="M244" s="60" t="s">
        <v>42</v>
      </c>
      <c r="O244" s="26" t="s">
        <v>42</v>
      </c>
      <c r="P244" s="26" t="s">
        <v>42</v>
      </c>
      <c r="Q244" s="26" t="s">
        <v>42</v>
      </c>
      <c r="R244" s="26" t="s">
        <v>42</v>
      </c>
      <c r="S244" s="26" t="s">
        <v>42</v>
      </c>
      <c r="T244" s="26" t="s">
        <v>42</v>
      </c>
      <c r="U244" s="26" t="s">
        <v>42</v>
      </c>
      <c r="V244" s="26" t="s">
        <v>42</v>
      </c>
      <c r="W244" s="26" t="s">
        <v>42</v>
      </c>
      <c r="X244" s="26" t="s">
        <v>42</v>
      </c>
      <c r="Z244" s="26" t="s">
        <v>42</v>
      </c>
      <c r="AA244" s="26" t="s">
        <v>42</v>
      </c>
      <c r="AB244" s="26" t="s">
        <v>42</v>
      </c>
      <c r="AD244" s="26" t="s">
        <v>42</v>
      </c>
      <c r="AE244" s="26" t="s">
        <v>42</v>
      </c>
      <c r="AF244" s="26" t="s">
        <v>42</v>
      </c>
      <c r="AG244" s="26"/>
      <c r="AH244" s="26"/>
      <c r="AI244" s="26"/>
    </row>
    <row r="245" spans="1:35" ht="45" x14ac:dyDescent="0.25">
      <c r="A245" s="61" t="s">
        <v>332</v>
      </c>
      <c r="B245" s="27" t="s">
        <v>263</v>
      </c>
      <c r="O245" s="26" t="s">
        <v>42</v>
      </c>
      <c r="P245" s="26" t="s">
        <v>42</v>
      </c>
      <c r="Q245" s="26" t="s">
        <v>42</v>
      </c>
      <c r="R245" s="26" t="s">
        <v>42</v>
      </c>
      <c r="S245" s="26" t="s">
        <v>42</v>
      </c>
      <c r="T245" s="26" t="s">
        <v>42</v>
      </c>
      <c r="U245" s="26" t="s">
        <v>42</v>
      </c>
      <c r="V245" s="26" t="s">
        <v>42</v>
      </c>
      <c r="W245" s="26" t="s">
        <v>42</v>
      </c>
      <c r="X245" s="26" t="s">
        <v>42</v>
      </c>
      <c r="Z245" s="63"/>
      <c r="AA245" s="63"/>
      <c r="AB245" s="63"/>
      <c r="AD245" s="26"/>
      <c r="AE245" s="26" t="s">
        <v>42</v>
      </c>
      <c r="AF245" s="26"/>
      <c r="AG245" s="26"/>
      <c r="AH245" s="26"/>
    </row>
    <row r="246" spans="1:35" ht="30" x14ac:dyDescent="0.25">
      <c r="A246" s="61" t="s">
        <v>264</v>
      </c>
      <c r="B246" s="27" t="s">
        <v>265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Z246" s="63"/>
      <c r="AA246" s="63"/>
      <c r="AB246" s="63"/>
      <c r="AD246" s="26"/>
      <c r="AE246" s="26"/>
      <c r="AF246" s="26"/>
      <c r="AG246" s="26"/>
      <c r="AH246" s="26"/>
    </row>
    <row r="247" spans="1:35" ht="45" x14ac:dyDescent="0.25">
      <c r="A247" s="61" t="s">
        <v>331</v>
      </c>
      <c r="B247" s="27" t="s">
        <v>330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Z247" s="26" t="s">
        <v>42</v>
      </c>
      <c r="AA247" s="26" t="s">
        <v>42</v>
      </c>
      <c r="AB247" s="26" t="s">
        <v>42</v>
      </c>
      <c r="AD247" s="26"/>
      <c r="AE247" s="26"/>
      <c r="AF247" s="26" t="s">
        <v>42</v>
      </c>
      <c r="AG247" s="26"/>
      <c r="AH247" s="26"/>
      <c r="AI247" s="26"/>
    </row>
    <row r="248" spans="1:35" ht="30" x14ac:dyDescent="0.25">
      <c r="A248" s="61" t="s">
        <v>268</v>
      </c>
      <c r="B248" s="27" t="s">
        <v>329</v>
      </c>
      <c r="D248" s="26" t="s">
        <v>42</v>
      </c>
      <c r="E248" s="26" t="s">
        <v>42</v>
      </c>
      <c r="F248" s="26" t="s">
        <v>42</v>
      </c>
      <c r="G248" s="60" t="s">
        <v>42</v>
      </c>
      <c r="H248" s="26" t="s">
        <v>42</v>
      </c>
      <c r="I248" s="26" t="s">
        <v>42</v>
      </c>
      <c r="J248" s="26" t="s">
        <v>42</v>
      </c>
      <c r="K248" s="26" t="s">
        <v>42</v>
      </c>
      <c r="L248" s="26" t="s">
        <v>42</v>
      </c>
      <c r="M248" s="60" t="s">
        <v>42</v>
      </c>
      <c r="O248" s="62" t="s">
        <v>283</v>
      </c>
      <c r="P248" s="62" t="s">
        <v>283</v>
      </c>
      <c r="Q248" s="62" t="s">
        <v>283</v>
      </c>
      <c r="R248" s="62" t="s">
        <v>283</v>
      </c>
      <c r="S248" s="62" t="s">
        <v>283</v>
      </c>
      <c r="T248" s="62" t="s">
        <v>283</v>
      </c>
      <c r="U248" s="62" t="s">
        <v>283</v>
      </c>
      <c r="V248" s="62" t="s">
        <v>283</v>
      </c>
      <c r="W248" s="62" t="s">
        <v>283</v>
      </c>
      <c r="X248" s="62" t="s">
        <v>283</v>
      </c>
      <c r="Z248" s="26"/>
      <c r="AA248" s="26"/>
      <c r="AB248" s="26"/>
      <c r="AD248" s="26" t="s">
        <v>42</v>
      </c>
      <c r="AE248" s="62" t="s">
        <v>283</v>
      </c>
      <c r="AF248" s="62" t="s">
        <v>283</v>
      </c>
      <c r="AG248" s="26"/>
      <c r="AH248" s="26"/>
      <c r="AI248" s="26"/>
    </row>
    <row r="249" spans="1:35" ht="30" x14ac:dyDescent="0.25">
      <c r="A249" s="61" t="s">
        <v>270</v>
      </c>
      <c r="B249" s="27" t="s">
        <v>328</v>
      </c>
      <c r="D249" s="26" t="s">
        <v>42</v>
      </c>
      <c r="E249" s="26" t="s">
        <v>42</v>
      </c>
      <c r="F249" s="26" t="s">
        <v>42</v>
      </c>
      <c r="G249" s="60" t="s">
        <v>42</v>
      </c>
      <c r="H249" s="26" t="s">
        <v>42</v>
      </c>
      <c r="I249" s="26" t="s">
        <v>42</v>
      </c>
      <c r="J249" s="26" t="s">
        <v>42</v>
      </c>
      <c r="K249" s="26" t="s">
        <v>42</v>
      </c>
      <c r="L249" s="26" t="s">
        <v>42</v>
      </c>
      <c r="M249" s="60" t="s">
        <v>42</v>
      </c>
      <c r="O249" s="26" t="s">
        <v>42</v>
      </c>
      <c r="P249" s="26" t="s">
        <v>42</v>
      </c>
      <c r="Q249" s="26" t="s">
        <v>42</v>
      </c>
      <c r="R249" s="26" t="s">
        <v>42</v>
      </c>
      <c r="S249" s="26" t="s">
        <v>42</v>
      </c>
      <c r="T249" s="26" t="s">
        <v>42</v>
      </c>
      <c r="U249" s="26" t="s">
        <v>42</v>
      </c>
      <c r="V249" s="26" t="s">
        <v>42</v>
      </c>
      <c r="W249" s="26" t="s">
        <v>42</v>
      </c>
      <c r="X249" s="26" t="s">
        <v>42</v>
      </c>
      <c r="Z249" s="26" t="s">
        <v>42</v>
      </c>
      <c r="AA249" s="26" t="s">
        <v>42</v>
      </c>
      <c r="AB249" s="26" t="s">
        <v>42</v>
      </c>
      <c r="AD249" s="26" t="s">
        <v>42</v>
      </c>
      <c r="AE249" s="26" t="s">
        <v>42</v>
      </c>
      <c r="AF249" s="26" t="s">
        <v>42</v>
      </c>
      <c r="AG249" s="26"/>
      <c r="AH249" s="26"/>
      <c r="AI249" s="26"/>
    </row>
    <row r="250" spans="1:35" x14ac:dyDescent="0.25"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Z250" s="26"/>
      <c r="AA250" s="26"/>
      <c r="AB250" s="26"/>
      <c r="AD250" s="26"/>
      <c r="AE250" s="26"/>
      <c r="AF250" s="26"/>
      <c r="AG250" s="26"/>
      <c r="AH250" s="26"/>
      <c r="AI250" s="26"/>
    </row>
    <row r="251" spans="1:35" x14ac:dyDescent="0.25"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Z251" s="26"/>
      <c r="AA251" s="26"/>
      <c r="AB251" s="26"/>
      <c r="AD251" s="26"/>
      <c r="AE251" s="26"/>
      <c r="AF251" s="26"/>
      <c r="AG251" s="26"/>
      <c r="AH251" s="26"/>
      <c r="AI251" s="26"/>
    </row>
    <row r="252" spans="1:35" x14ac:dyDescent="0.25"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Z252" s="26"/>
      <c r="AA252" s="26"/>
      <c r="AB252" s="26"/>
      <c r="AD252" s="26"/>
      <c r="AE252" s="26"/>
      <c r="AF252" s="26"/>
      <c r="AG252" s="26"/>
      <c r="AH252" s="26"/>
      <c r="AI252" s="26"/>
    </row>
    <row r="253" spans="1:35" x14ac:dyDescent="0.25"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Z253" s="26"/>
      <c r="AA253" s="26"/>
      <c r="AB253" s="26"/>
      <c r="AD253" s="26"/>
      <c r="AE253" s="26"/>
      <c r="AF253" s="26"/>
      <c r="AG253" s="26"/>
      <c r="AH253" s="26"/>
      <c r="AI253" s="26"/>
    </row>
    <row r="254" spans="1:35" x14ac:dyDescent="0.25"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Z254" s="26"/>
      <c r="AA254" s="26"/>
      <c r="AB254" s="26"/>
      <c r="AD254" s="26"/>
      <c r="AE254" s="26"/>
      <c r="AF254" s="26"/>
      <c r="AG254" s="26"/>
      <c r="AH254" s="26"/>
      <c r="AI254" s="26"/>
    </row>
    <row r="255" spans="1:35" x14ac:dyDescent="0.25"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Z255" s="26"/>
      <c r="AA255" s="26"/>
      <c r="AB255" s="26"/>
      <c r="AD255" s="26"/>
      <c r="AE255" s="26"/>
      <c r="AF255" s="26"/>
      <c r="AG255" s="26"/>
      <c r="AH255" s="26"/>
      <c r="AI255" s="26"/>
    </row>
    <row r="256" spans="1:35" x14ac:dyDescent="0.25"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Z256" s="26"/>
      <c r="AA256" s="26"/>
      <c r="AB256" s="26"/>
      <c r="AD256" s="26"/>
      <c r="AE256" s="26"/>
      <c r="AF256" s="26"/>
      <c r="AG256" s="26"/>
      <c r="AH256" s="26"/>
      <c r="AI256" s="26"/>
    </row>
    <row r="257" spans="15:35" x14ac:dyDescent="0.25"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Z257" s="26"/>
      <c r="AA257" s="26"/>
      <c r="AB257" s="26"/>
      <c r="AD257" s="26"/>
      <c r="AE257" s="26"/>
      <c r="AF257" s="26"/>
      <c r="AG257" s="26"/>
      <c r="AH257" s="26"/>
      <c r="AI257" s="26"/>
    </row>
    <row r="258" spans="15:35" x14ac:dyDescent="0.25"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Z258" s="26"/>
      <c r="AA258" s="26"/>
      <c r="AB258" s="26"/>
      <c r="AD258" s="26"/>
      <c r="AE258" s="26"/>
      <c r="AF258" s="26"/>
      <c r="AG258" s="26"/>
      <c r="AH258" s="26"/>
      <c r="AI258" s="26"/>
    </row>
    <row r="259" spans="15:35" x14ac:dyDescent="0.25"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Z259" s="26"/>
      <c r="AA259" s="26"/>
      <c r="AB259" s="26"/>
      <c r="AD259" s="26"/>
      <c r="AE259" s="26"/>
      <c r="AF259" s="26"/>
      <c r="AG259" s="26"/>
      <c r="AH259" s="26"/>
      <c r="AI259" s="26"/>
    </row>
    <row r="260" spans="15:35" x14ac:dyDescent="0.25"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Z260" s="26"/>
      <c r="AA260" s="26"/>
      <c r="AB260" s="26"/>
      <c r="AD260" s="26"/>
      <c r="AE260" s="26"/>
      <c r="AF260" s="26"/>
      <c r="AG260" s="26"/>
      <c r="AH260" s="26"/>
      <c r="AI260" s="26"/>
    </row>
    <row r="261" spans="15:35" x14ac:dyDescent="0.25"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Z261" s="26"/>
      <c r="AA261" s="26"/>
      <c r="AB261" s="26"/>
      <c r="AD261" s="26"/>
      <c r="AE261" s="26"/>
      <c r="AF261" s="26"/>
      <c r="AG261" s="26"/>
      <c r="AH261" s="26"/>
      <c r="AI261" s="26"/>
    </row>
    <row r="262" spans="15:35" x14ac:dyDescent="0.25"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Z262" s="26"/>
      <c r="AA262" s="26"/>
      <c r="AB262" s="26"/>
      <c r="AD262" s="26"/>
      <c r="AE262" s="26"/>
      <c r="AF262" s="26"/>
      <c r="AG262" s="26"/>
      <c r="AH262" s="26"/>
      <c r="AI262" s="26"/>
    </row>
    <row r="263" spans="15:35" x14ac:dyDescent="0.25"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Z263" s="26"/>
      <c r="AA263" s="26"/>
      <c r="AB263" s="26"/>
      <c r="AD263" s="26"/>
      <c r="AE263" s="26"/>
      <c r="AF263" s="26"/>
      <c r="AG263" s="26"/>
      <c r="AH263" s="26"/>
      <c r="AI263" s="26"/>
    </row>
    <row r="264" spans="15:35" x14ac:dyDescent="0.25"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Z264" s="26"/>
      <c r="AA264" s="26"/>
      <c r="AB264" s="26"/>
      <c r="AD264" s="26"/>
      <c r="AE264" s="26"/>
      <c r="AF264" s="26"/>
      <c r="AG264" s="26"/>
      <c r="AH264" s="26"/>
      <c r="AI264" s="26"/>
    </row>
    <row r="265" spans="15:35" x14ac:dyDescent="0.25"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Z265" s="26"/>
      <c r="AA265" s="26"/>
      <c r="AB265" s="26"/>
      <c r="AD265" s="26"/>
      <c r="AE265" s="26"/>
      <c r="AF265" s="26"/>
      <c r="AG265" s="26"/>
      <c r="AH265" s="26"/>
      <c r="AI265" s="26"/>
    </row>
    <row r="266" spans="15:35" x14ac:dyDescent="0.25"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Z266" s="26"/>
      <c r="AA266" s="26"/>
      <c r="AB266" s="26"/>
      <c r="AD266" s="26"/>
      <c r="AE266" s="26"/>
      <c r="AF266" s="26"/>
      <c r="AG266" s="26"/>
      <c r="AH266" s="26"/>
      <c r="AI266" s="26"/>
    </row>
    <row r="267" spans="15:35" x14ac:dyDescent="0.25"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Z267" s="26"/>
      <c r="AA267" s="26"/>
      <c r="AB267" s="26"/>
      <c r="AD267" s="26"/>
      <c r="AE267" s="26"/>
      <c r="AF267" s="26"/>
      <c r="AG267" s="26"/>
      <c r="AH267" s="26"/>
      <c r="AI267" s="26"/>
    </row>
    <row r="268" spans="15:35" x14ac:dyDescent="0.25"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Z268" s="26"/>
      <c r="AA268" s="26"/>
      <c r="AB268" s="26"/>
      <c r="AD268" s="26"/>
      <c r="AE268" s="26"/>
      <c r="AF268" s="26"/>
      <c r="AG268" s="26"/>
      <c r="AH268" s="26"/>
      <c r="AI268" s="26"/>
    </row>
    <row r="269" spans="15:35" x14ac:dyDescent="0.25"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Z269" s="26"/>
      <c r="AA269" s="26"/>
      <c r="AB269" s="26"/>
      <c r="AD269" s="26"/>
      <c r="AE269" s="26"/>
      <c r="AF269" s="26"/>
      <c r="AG269" s="26"/>
      <c r="AH269" s="26"/>
      <c r="AI269" s="26"/>
    </row>
    <row r="270" spans="15:35" x14ac:dyDescent="0.25"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Z270" s="26"/>
      <c r="AA270" s="26"/>
      <c r="AB270" s="26"/>
      <c r="AD270" s="26"/>
      <c r="AE270" s="26"/>
      <c r="AF270" s="26"/>
      <c r="AG270" s="26"/>
      <c r="AH270" s="26"/>
      <c r="AI270" s="26"/>
    </row>
    <row r="271" spans="15:35" x14ac:dyDescent="0.25"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Z271" s="26"/>
      <c r="AA271" s="26"/>
      <c r="AB271" s="26"/>
      <c r="AD271" s="26"/>
      <c r="AE271" s="26"/>
      <c r="AF271" s="26"/>
      <c r="AG271" s="26"/>
      <c r="AH271" s="26"/>
      <c r="AI271" s="26"/>
    </row>
    <row r="272" spans="15:35" x14ac:dyDescent="0.25"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Z272" s="26"/>
      <c r="AA272" s="26"/>
      <c r="AB272" s="26"/>
      <c r="AD272" s="26"/>
      <c r="AE272" s="26"/>
      <c r="AF272" s="26"/>
      <c r="AG272" s="26"/>
      <c r="AH272" s="26"/>
      <c r="AI272" s="26"/>
    </row>
    <row r="273" spans="15:35" x14ac:dyDescent="0.25"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Z273" s="26"/>
      <c r="AA273" s="26"/>
      <c r="AB273" s="26"/>
      <c r="AD273" s="26"/>
      <c r="AE273" s="26"/>
      <c r="AF273" s="26"/>
      <c r="AG273" s="26"/>
      <c r="AH273" s="26"/>
      <c r="AI273" s="26"/>
    </row>
    <row r="274" spans="15:35" x14ac:dyDescent="0.25"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Z274" s="26"/>
      <c r="AA274" s="26"/>
      <c r="AB274" s="26"/>
      <c r="AD274" s="26"/>
      <c r="AE274" s="26"/>
      <c r="AF274" s="26"/>
      <c r="AG274" s="26"/>
      <c r="AH274" s="26"/>
      <c r="AI274" s="26"/>
    </row>
    <row r="275" spans="15:35" x14ac:dyDescent="0.25"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Z275" s="26"/>
      <c r="AA275" s="26"/>
      <c r="AB275" s="26"/>
      <c r="AD275" s="26"/>
      <c r="AE275" s="26"/>
      <c r="AF275" s="26"/>
      <c r="AG275" s="26"/>
      <c r="AH275" s="26"/>
      <c r="AI275" s="26"/>
    </row>
    <row r="276" spans="15:35" x14ac:dyDescent="0.25"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Z276" s="26"/>
      <c r="AA276" s="26"/>
      <c r="AB276" s="26"/>
      <c r="AD276" s="26"/>
      <c r="AE276" s="26"/>
      <c r="AF276" s="26"/>
      <c r="AG276" s="26"/>
      <c r="AH276" s="26"/>
      <c r="AI276" s="26"/>
    </row>
    <row r="277" spans="15:35" x14ac:dyDescent="0.25"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Z277" s="26"/>
      <c r="AA277" s="26"/>
      <c r="AB277" s="26"/>
      <c r="AD277" s="26"/>
      <c r="AE277" s="26"/>
      <c r="AF277" s="26"/>
      <c r="AG277" s="26"/>
      <c r="AH277" s="26"/>
      <c r="AI277" s="26"/>
    </row>
    <row r="278" spans="15:35" x14ac:dyDescent="0.25"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Z278" s="26"/>
      <c r="AA278" s="26"/>
      <c r="AB278" s="26"/>
      <c r="AD278" s="26"/>
      <c r="AE278" s="26"/>
      <c r="AF278" s="26"/>
      <c r="AG278" s="26"/>
      <c r="AH278" s="26"/>
      <c r="AI278" s="26"/>
    </row>
    <row r="279" spans="15:35" x14ac:dyDescent="0.25"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Z279" s="26"/>
      <c r="AA279" s="26"/>
      <c r="AB279" s="26"/>
      <c r="AD279" s="26"/>
      <c r="AE279" s="26"/>
      <c r="AF279" s="26"/>
      <c r="AG279" s="26"/>
      <c r="AH279" s="26"/>
      <c r="AI279" s="26"/>
    </row>
    <row r="280" spans="15:35" x14ac:dyDescent="0.25"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Z280" s="26"/>
      <c r="AA280" s="26"/>
      <c r="AB280" s="26"/>
      <c r="AD280" s="26"/>
      <c r="AE280" s="26"/>
      <c r="AF280" s="26"/>
      <c r="AG280" s="26"/>
      <c r="AH280" s="26"/>
      <c r="AI280" s="26"/>
    </row>
    <row r="281" spans="15:35" x14ac:dyDescent="0.25"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Z281" s="26"/>
      <c r="AA281" s="26"/>
      <c r="AB281" s="26"/>
      <c r="AD281" s="26"/>
      <c r="AE281" s="26"/>
      <c r="AF281" s="26"/>
      <c r="AG281" s="26"/>
      <c r="AH281" s="26"/>
      <c r="AI281" s="26"/>
    </row>
    <row r="282" spans="15:35" x14ac:dyDescent="0.25"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Z282" s="26"/>
      <c r="AA282" s="26"/>
      <c r="AB282" s="26"/>
      <c r="AD282" s="26"/>
      <c r="AE282" s="26"/>
      <c r="AF282" s="26"/>
      <c r="AG282" s="26"/>
      <c r="AH282" s="26"/>
      <c r="AI282" s="26"/>
    </row>
    <row r="283" spans="15:35" x14ac:dyDescent="0.25"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Z283" s="26"/>
      <c r="AA283" s="26"/>
      <c r="AB283" s="26"/>
      <c r="AD283" s="26"/>
      <c r="AE283" s="26"/>
      <c r="AF283" s="26"/>
      <c r="AG283" s="26"/>
      <c r="AH283" s="26"/>
      <c r="AI283" s="26"/>
    </row>
    <row r="284" spans="15:35" x14ac:dyDescent="0.25"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Z284" s="26"/>
      <c r="AA284" s="26"/>
      <c r="AB284" s="26"/>
      <c r="AD284" s="26"/>
      <c r="AE284" s="26"/>
      <c r="AF284" s="26"/>
      <c r="AG284" s="26"/>
      <c r="AH284" s="26"/>
      <c r="AI284" s="26"/>
    </row>
    <row r="285" spans="15:35" x14ac:dyDescent="0.25"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Z285" s="26"/>
      <c r="AA285" s="26"/>
      <c r="AB285" s="26"/>
      <c r="AD285" s="26"/>
      <c r="AE285" s="26"/>
      <c r="AF285" s="26"/>
      <c r="AG285" s="26"/>
      <c r="AH285" s="26"/>
      <c r="AI285" s="26"/>
    </row>
    <row r="286" spans="15:35" x14ac:dyDescent="0.25"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Z286" s="26"/>
      <c r="AA286" s="26"/>
      <c r="AB286" s="26"/>
      <c r="AD286" s="26"/>
      <c r="AE286" s="26"/>
      <c r="AF286" s="26"/>
      <c r="AG286" s="26"/>
      <c r="AH286" s="26"/>
      <c r="AI286" s="26"/>
    </row>
    <row r="287" spans="15:35" x14ac:dyDescent="0.25"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Z287" s="26"/>
      <c r="AA287" s="26"/>
      <c r="AB287" s="26"/>
      <c r="AD287" s="26"/>
      <c r="AE287" s="26"/>
      <c r="AF287" s="26"/>
      <c r="AG287" s="26"/>
      <c r="AH287" s="26"/>
      <c r="AI287" s="26"/>
    </row>
    <row r="288" spans="15:35" x14ac:dyDescent="0.25"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Z288" s="26"/>
      <c r="AA288" s="26"/>
      <c r="AB288" s="26"/>
      <c r="AD288" s="26"/>
      <c r="AE288" s="26"/>
      <c r="AF288" s="26"/>
      <c r="AG288" s="26"/>
      <c r="AH288" s="26"/>
      <c r="AI288" s="26"/>
    </row>
    <row r="289" spans="15:35" x14ac:dyDescent="0.25"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Z289" s="26"/>
      <c r="AA289" s="26"/>
      <c r="AB289" s="26"/>
      <c r="AD289" s="26"/>
      <c r="AE289" s="26"/>
      <c r="AF289" s="26"/>
      <c r="AG289" s="26"/>
      <c r="AH289" s="26"/>
      <c r="AI289" s="26"/>
    </row>
    <row r="290" spans="15:35" x14ac:dyDescent="0.25"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Z290" s="26"/>
      <c r="AA290" s="26"/>
      <c r="AB290" s="26"/>
      <c r="AD290" s="26"/>
      <c r="AE290" s="26"/>
      <c r="AF290" s="26"/>
      <c r="AG290" s="26"/>
      <c r="AH290" s="26"/>
      <c r="AI290" s="26"/>
    </row>
    <row r="291" spans="15:35" x14ac:dyDescent="0.25"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Z291" s="26"/>
      <c r="AA291" s="26"/>
      <c r="AB291" s="26"/>
      <c r="AD291" s="26"/>
      <c r="AE291" s="26"/>
      <c r="AF291" s="26"/>
      <c r="AG291" s="26"/>
      <c r="AH291" s="26"/>
      <c r="AI291" s="26"/>
    </row>
    <row r="292" spans="15:35" x14ac:dyDescent="0.25"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Z292" s="26"/>
      <c r="AA292" s="26"/>
      <c r="AB292" s="26"/>
      <c r="AD292" s="26"/>
      <c r="AE292" s="26"/>
      <c r="AF292" s="26"/>
      <c r="AG292" s="26"/>
      <c r="AH292" s="26"/>
      <c r="AI292" s="26"/>
    </row>
    <row r="293" spans="15:35" x14ac:dyDescent="0.25"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Z293" s="26"/>
      <c r="AA293" s="26"/>
      <c r="AB293" s="26"/>
      <c r="AD293" s="26"/>
      <c r="AE293" s="26"/>
      <c r="AF293" s="26"/>
      <c r="AG293" s="26"/>
      <c r="AH293" s="26"/>
      <c r="AI293" s="26"/>
    </row>
    <row r="294" spans="15:35" x14ac:dyDescent="0.25"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Z294" s="26"/>
      <c r="AA294" s="26"/>
      <c r="AB294" s="26"/>
      <c r="AD294" s="26"/>
      <c r="AE294" s="26"/>
      <c r="AF294" s="26"/>
      <c r="AG294" s="26"/>
      <c r="AH294" s="26"/>
      <c r="AI294" s="26"/>
    </row>
    <row r="295" spans="15:35" x14ac:dyDescent="0.25"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Z295" s="26"/>
      <c r="AA295" s="26"/>
      <c r="AB295" s="26"/>
      <c r="AD295" s="26"/>
      <c r="AE295" s="26"/>
      <c r="AF295" s="26"/>
      <c r="AG295" s="26"/>
      <c r="AH295" s="26"/>
      <c r="AI295" s="26"/>
    </row>
    <row r="296" spans="15:35" x14ac:dyDescent="0.25"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Z296" s="26"/>
      <c r="AA296" s="26"/>
      <c r="AB296" s="26"/>
      <c r="AD296" s="26"/>
      <c r="AE296" s="26"/>
      <c r="AF296" s="26"/>
      <c r="AG296" s="26"/>
      <c r="AH296" s="26"/>
      <c r="AI296" s="26"/>
    </row>
    <row r="297" spans="15:35" x14ac:dyDescent="0.25"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Z297" s="26"/>
      <c r="AA297" s="26"/>
      <c r="AB297" s="26"/>
      <c r="AD297" s="26"/>
      <c r="AE297" s="26"/>
      <c r="AF297" s="26"/>
      <c r="AG297" s="26"/>
      <c r="AH297" s="26"/>
      <c r="AI297" s="26"/>
    </row>
    <row r="298" spans="15:35" x14ac:dyDescent="0.25"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Z298" s="26"/>
      <c r="AA298" s="26"/>
      <c r="AB298" s="26"/>
      <c r="AD298" s="26"/>
      <c r="AE298" s="26"/>
      <c r="AF298" s="26"/>
      <c r="AG298" s="26"/>
      <c r="AH298" s="26"/>
      <c r="AI298" s="26"/>
    </row>
    <row r="299" spans="15:35" x14ac:dyDescent="0.25"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Z299" s="26"/>
      <c r="AA299" s="26"/>
      <c r="AB299" s="26"/>
      <c r="AD299" s="26"/>
      <c r="AE299" s="26"/>
      <c r="AF299" s="26"/>
      <c r="AG299" s="26"/>
      <c r="AH299" s="26"/>
      <c r="AI299" s="26"/>
    </row>
    <row r="300" spans="15:35" x14ac:dyDescent="0.25"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Z300" s="26"/>
      <c r="AA300" s="26"/>
      <c r="AB300" s="26"/>
      <c r="AD300" s="26"/>
      <c r="AE300" s="26"/>
      <c r="AF300" s="26"/>
      <c r="AG300" s="26"/>
      <c r="AH300" s="26"/>
      <c r="AI300" s="26"/>
    </row>
    <row r="301" spans="15:35" x14ac:dyDescent="0.25"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Z301" s="26"/>
      <c r="AA301" s="26"/>
      <c r="AB301" s="26"/>
      <c r="AD301" s="26"/>
      <c r="AE301" s="26"/>
      <c r="AF301" s="26"/>
      <c r="AG301" s="26"/>
      <c r="AH301" s="26"/>
      <c r="AI301" s="26"/>
    </row>
    <row r="302" spans="15:35" x14ac:dyDescent="0.25"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Z302" s="26"/>
      <c r="AA302" s="26"/>
      <c r="AB302" s="26"/>
      <c r="AD302" s="26"/>
      <c r="AE302" s="26"/>
      <c r="AF302" s="26"/>
      <c r="AG302" s="26"/>
      <c r="AH302" s="26"/>
      <c r="AI302" s="26"/>
    </row>
    <row r="303" spans="15:35" x14ac:dyDescent="0.25"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Z303" s="26"/>
      <c r="AA303" s="26"/>
      <c r="AB303" s="26"/>
      <c r="AD303" s="26"/>
      <c r="AE303" s="26"/>
      <c r="AF303" s="26"/>
      <c r="AG303" s="26"/>
      <c r="AH303" s="26"/>
      <c r="AI303" s="26"/>
    </row>
    <row r="304" spans="15:35" x14ac:dyDescent="0.25"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Z304" s="26"/>
      <c r="AA304" s="26"/>
      <c r="AB304" s="26"/>
      <c r="AD304" s="26"/>
      <c r="AE304" s="26"/>
      <c r="AF304" s="26"/>
      <c r="AG304" s="26"/>
      <c r="AH304" s="26"/>
      <c r="AI304" s="26"/>
    </row>
    <row r="305" spans="15:35" x14ac:dyDescent="0.25"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Z305" s="26"/>
      <c r="AA305" s="26"/>
      <c r="AB305" s="26"/>
      <c r="AD305" s="26"/>
      <c r="AE305" s="26"/>
      <c r="AF305" s="26"/>
      <c r="AG305" s="26"/>
      <c r="AH305" s="26"/>
      <c r="AI305" s="26"/>
    </row>
    <row r="306" spans="15:35" x14ac:dyDescent="0.25"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Z306" s="26"/>
      <c r="AA306" s="26"/>
      <c r="AB306" s="26"/>
      <c r="AD306" s="26"/>
      <c r="AE306" s="26"/>
      <c r="AF306" s="26"/>
      <c r="AG306" s="26"/>
      <c r="AH306" s="26"/>
      <c r="AI306" s="26"/>
    </row>
    <row r="307" spans="15:35" x14ac:dyDescent="0.25"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Z307" s="26"/>
      <c r="AA307" s="26"/>
      <c r="AB307" s="26"/>
      <c r="AD307" s="26"/>
      <c r="AE307" s="26"/>
      <c r="AF307" s="26"/>
      <c r="AG307" s="26"/>
      <c r="AH307" s="26"/>
      <c r="AI307" s="26"/>
    </row>
    <row r="308" spans="15:35" x14ac:dyDescent="0.25"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Z308" s="26"/>
      <c r="AA308" s="26"/>
      <c r="AB308" s="26"/>
      <c r="AD308" s="26"/>
      <c r="AE308" s="26"/>
      <c r="AF308" s="26"/>
      <c r="AG308" s="26"/>
      <c r="AH308" s="26"/>
      <c r="AI308" s="26"/>
    </row>
    <row r="309" spans="15:35" x14ac:dyDescent="0.25"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Z309" s="26"/>
      <c r="AA309" s="26"/>
      <c r="AB309" s="26"/>
      <c r="AD309" s="26"/>
      <c r="AE309" s="26"/>
      <c r="AF309" s="26"/>
      <c r="AG309" s="26"/>
      <c r="AH309" s="26"/>
      <c r="AI309" s="26"/>
    </row>
    <row r="310" spans="15:35" x14ac:dyDescent="0.25"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Z310" s="26"/>
      <c r="AA310" s="26"/>
      <c r="AB310" s="26"/>
      <c r="AD310" s="26"/>
      <c r="AE310" s="26"/>
      <c r="AF310" s="26"/>
      <c r="AG310" s="26"/>
      <c r="AH310" s="26"/>
      <c r="AI310" s="26"/>
    </row>
    <row r="311" spans="15:35" x14ac:dyDescent="0.25"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Z311" s="26"/>
      <c r="AA311" s="26"/>
      <c r="AB311" s="26"/>
      <c r="AD311" s="26"/>
      <c r="AE311" s="26"/>
      <c r="AF311" s="26"/>
      <c r="AG311" s="26"/>
      <c r="AH311" s="26"/>
      <c r="AI311" s="26"/>
    </row>
    <row r="312" spans="15:35" x14ac:dyDescent="0.25"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Z312" s="26"/>
      <c r="AA312" s="26"/>
      <c r="AB312" s="26"/>
      <c r="AD312" s="26"/>
      <c r="AE312" s="26"/>
      <c r="AF312" s="26"/>
      <c r="AG312" s="26"/>
      <c r="AH312" s="26"/>
      <c r="AI312" s="26"/>
    </row>
    <row r="313" spans="15:35" x14ac:dyDescent="0.25"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Z313" s="26"/>
      <c r="AA313" s="26"/>
      <c r="AB313" s="26"/>
      <c r="AD313" s="26"/>
      <c r="AE313" s="26"/>
      <c r="AF313" s="26"/>
      <c r="AG313" s="26"/>
      <c r="AH313" s="26"/>
      <c r="AI313" s="26"/>
    </row>
    <row r="314" spans="15:35" x14ac:dyDescent="0.25"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Z314" s="26"/>
      <c r="AA314" s="26"/>
      <c r="AB314" s="26"/>
      <c r="AD314" s="26"/>
      <c r="AE314" s="26"/>
      <c r="AF314" s="26"/>
      <c r="AG314" s="26"/>
      <c r="AH314" s="26"/>
      <c r="AI314" s="26"/>
    </row>
    <row r="315" spans="15:35" x14ac:dyDescent="0.25"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Z315" s="26"/>
      <c r="AA315" s="26"/>
      <c r="AB315" s="26"/>
      <c r="AD315" s="26"/>
      <c r="AE315" s="26"/>
      <c r="AF315" s="26"/>
      <c r="AG315" s="26"/>
      <c r="AH315" s="26"/>
      <c r="AI315" s="26"/>
    </row>
    <row r="316" spans="15:35" x14ac:dyDescent="0.25"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Z316" s="26"/>
      <c r="AA316" s="26"/>
      <c r="AB316" s="26"/>
      <c r="AD316" s="26"/>
      <c r="AE316" s="26"/>
      <c r="AF316" s="26"/>
      <c r="AG316" s="26"/>
      <c r="AH316" s="26"/>
      <c r="AI316" s="26"/>
    </row>
    <row r="317" spans="15:35" x14ac:dyDescent="0.25"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Z317" s="26"/>
      <c r="AA317" s="26"/>
      <c r="AB317" s="26"/>
      <c r="AD317" s="26"/>
      <c r="AE317" s="26"/>
      <c r="AF317" s="26"/>
      <c r="AG317" s="26"/>
      <c r="AH317" s="26"/>
      <c r="AI317" s="26"/>
    </row>
    <row r="318" spans="15:35" x14ac:dyDescent="0.25"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Z318" s="26"/>
      <c r="AA318" s="26"/>
      <c r="AB318" s="26"/>
      <c r="AD318" s="26"/>
      <c r="AE318" s="26"/>
      <c r="AF318" s="26"/>
      <c r="AG318" s="26"/>
      <c r="AH318" s="26"/>
      <c r="AI318" s="26"/>
    </row>
    <row r="319" spans="15:35" x14ac:dyDescent="0.25"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Z319" s="26"/>
      <c r="AA319" s="26"/>
      <c r="AB319" s="26"/>
      <c r="AD319" s="26"/>
      <c r="AE319" s="26"/>
      <c r="AF319" s="26"/>
      <c r="AG319" s="26"/>
      <c r="AH319" s="26"/>
      <c r="AI319" s="26"/>
    </row>
    <row r="320" spans="15:35" x14ac:dyDescent="0.25"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Z320" s="26"/>
      <c r="AA320" s="26"/>
      <c r="AB320" s="26"/>
      <c r="AD320" s="26"/>
      <c r="AE320" s="26"/>
      <c r="AF320" s="26"/>
      <c r="AG320" s="26"/>
      <c r="AH320" s="26"/>
      <c r="AI320" s="26"/>
    </row>
    <row r="321" spans="15:35" x14ac:dyDescent="0.25"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Z321" s="26"/>
      <c r="AA321" s="26"/>
      <c r="AB321" s="26"/>
      <c r="AD321" s="26"/>
      <c r="AE321" s="26"/>
      <c r="AF321" s="26"/>
      <c r="AG321" s="26"/>
      <c r="AH321" s="26"/>
      <c r="AI321" s="26"/>
    </row>
    <row r="322" spans="15:35" x14ac:dyDescent="0.25"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Z322" s="26"/>
      <c r="AA322" s="26"/>
      <c r="AB322" s="26"/>
      <c r="AD322" s="26"/>
      <c r="AE322" s="26"/>
      <c r="AF322" s="26"/>
      <c r="AG322" s="26"/>
      <c r="AH322" s="26"/>
      <c r="AI322" s="26"/>
    </row>
    <row r="323" spans="15:35" x14ac:dyDescent="0.25"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Z323" s="26"/>
      <c r="AA323" s="26"/>
      <c r="AB323" s="26"/>
      <c r="AD323" s="26"/>
      <c r="AE323" s="26"/>
      <c r="AF323" s="26"/>
      <c r="AG323" s="26"/>
      <c r="AH323" s="26"/>
      <c r="AI323" s="26"/>
    </row>
    <row r="324" spans="15:35" x14ac:dyDescent="0.25"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Z324" s="26"/>
      <c r="AA324" s="26"/>
      <c r="AB324" s="26"/>
      <c r="AD324" s="26"/>
      <c r="AE324" s="26"/>
      <c r="AF324" s="26"/>
      <c r="AG324" s="26"/>
      <c r="AH324" s="26"/>
      <c r="AI324" s="26"/>
    </row>
    <row r="325" spans="15:35" x14ac:dyDescent="0.25"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Z325" s="26"/>
      <c r="AA325" s="26"/>
      <c r="AB325" s="26"/>
      <c r="AD325" s="26"/>
      <c r="AE325" s="26"/>
      <c r="AF325" s="26"/>
      <c r="AG325" s="26"/>
      <c r="AH325" s="26"/>
      <c r="AI325" s="26"/>
    </row>
    <row r="326" spans="15:35" x14ac:dyDescent="0.25"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Z326" s="26"/>
      <c r="AA326" s="26"/>
      <c r="AB326" s="26"/>
      <c r="AD326" s="26"/>
      <c r="AE326" s="26"/>
      <c r="AF326" s="26"/>
      <c r="AG326" s="26"/>
      <c r="AH326" s="26"/>
      <c r="AI326" s="26"/>
    </row>
    <row r="327" spans="15:35" x14ac:dyDescent="0.25"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Z327" s="26"/>
      <c r="AA327" s="26"/>
      <c r="AB327" s="26"/>
      <c r="AD327" s="26"/>
      <c r="AE327" s="26"/>
      <c r="AF327" s="26"/>
      <c r="AG327" s="26"/>
      <c r="AH327" s="26"/>
      <c r="AI327" s="26"/>
    </row>
    <row r="328" spans="15:35" x14ac:dyDescent="0.25"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Z328" s="26"/>
      <c r="AA328" s="26"/>
      <c r="AB328" s="26"/>
      <c r="AD328" s="26"/>
      <c r="AE328" s="26"/>
      <c r="AF328" s="26"/>
      <c r="AG328" s="26"/>
      <c r="AH328" s="26"/>
      <c r="AI328" s="26"/>
    </row>
    <row r="329" spans="15:35" x14ac:dyDescent="0.25"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Z329" s="26"/>
      <c r="AA329" s="26"/>
      <c r="AB329" s="26"/>
      <c r="AD329" s="26"/>
      <c r="AE329" s="26"/>
      <c r="AF329" s="26"/>
      <c r="AG329" s="26"/>
      <c r="AH329" s="26"/>
      <c r="AI329" s="26"/>
    </row>
    <row r="330" spans="15:35" x14ac:dyDescent="0.25"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Z330" s="26"/>
      <c r="AA330" s="26"/>
      <c r="AB330" s="26"/>
      <c r="AD330" s="26"/>
      <c r="AE330" s="26"/>
      <c r="AF330" s="26"/>
      <c r="AG330" s="26"/>
      <c r="AH330" s="26"/>
      <c r="AI330" s="26"/>
    </row>
    <row r="331" spans="15:35" x14ac:dyDescent="0.25"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Z331" s="26"/>
      <c r="AA331" s="26"/>
      <c r="AB331" s="26"/>
      <c r="AD331" s="26"/>
      <c r="AE331" s="26"/>
      <c r="AF331" s="26"/>
      <c r="AG331" s="26"/>
      <c r="AH331" s="26"/>
      <c r="AI331" s="26"/>
    </row>
    <row r="332" spans="15:35" x14ac:dyDescent="0.25"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Z332" s="26"/>
      <c r="AA332" s="26"/>
      <c r="AB332" s="26"/>
      <c r="AD332" s="26"/>
      <c r="AE332" s="26"/>
      <c r="AF332" s="26"/>
      <c r="AG332" s="26"/>
      <c r="AH332" s="26"/>
      <c r="AI332" s="26"/>
    </row>
    <row r="333" spans="15:35" x14ac:dyDescent="0.25"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Z333" s="26"/>
      <c r="AA333" s="26"/>
      <c r="AB333" s="26"/>
      <c r="AD333" s="26"/>
      <c r="AE333" s="26"/>
      <c r="AF333" s="26"/>
      <c r="AG333" s="26"/>
      <c r="AH333" s="26"/>
      <c r="AI333" s="26"/>
    </row>
    <row r="334" spans="15:35" x14ac:dyDescent="0.25"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Z334" s="26"/>
      <c r="AA334" s="26"/>
      <c r="AB334" s="26"/>
      <c r="AD334" s="26"/>
      <c r="AE334" s="26"/>
      <c r="AF334" s="26"/>
      <c r="AG334" s="26"/>
      <c r="AH334" s="26"/>
      <c r="AI334" s="26"/>
    </row>
    <row r="335" spans="15:35" x14ac:dyDescent="0.25"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Z335" s="26"/>
      <c r="AA335" s="26"/>
      <c r="AB335" s="26"/>
      <c r="AD335" s="26"/>
      <c r="AE335" s="26"/>
      <c r="AF335" s="26"/>
      <c r="AG335" s="26"/>
      <c r="AH335" s="26"/>
      <c r="AI335" s="26"/>
    </row>
    <row r="336" spans="15:35" x14ac:dyDescent="0.25"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Z336" s="26"/>
      <c r="AA336" s="26"/>
      <c r="AB336" s="26"/>
      <c r="AD336" s="26"/>
      <c r="AE336" s="26"/>
      <c r="AF336" s="26"/>
      <c r="AG336" s="26"/>
      <c r="AH336" s="26"/>
      <c r="AI336" s="26"/>
    </row>
    <row r="337" spans="15:35" x14ac:dyDescent="0.25"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Z337" s="26"/>
      <c r="AA337" s="26"/>
      <c r="AB337" s="26"/>
      <c r="AD337" s="26"/>
      <c r="AE337" s="26"/>
      <c r="AF337" s="26"/>
      <c r="AG337" s="26"/>
      <c r="AH337" s="26"/>
      <c r="AI337" s="26"/>
    </row>
    <row r="338" spans="15:35" x14ac:dyDescent="0.25"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Z338" s="26"/>
      <c r="AA338" s="26"/>
      <c r="AB338" s="26"/>
      <c r="AD338" s="26"/>
      <c r="AE338" s="26"/>
      <c r="AF338" s="26"/>
      <c r="AG338" s="26"/>
      <c r="AH338" s="26"/>
      <c r="AI338" s="26"/>
    </row>
    <row r="339" spans="15:35" x14ac:dyDescent="0.25"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Z339" s="26"/>
      <c r="AA339" s="26"/>
      <c r="AB339" s="26"/>
      <c r="AD339" s="26"/>
      <c r="AE339" s="26"/>
      <c r="AF339" s="26"/>
      <c r="AG339" s="26"/>
      <c r="AH339" s="26"/>
      <c r="AI339" s="26"/>
    </row>
    <row r="340" spans="15:35" x14ac:dyDescent="0.25"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Z340" s="26"/>
      <c r="AA340" s="26"/>
      <c r="AB340" s="26"/>
      <c r="AD340" s="26"/>
      <c r="AE340" s="26"/>
      <c r="AF340" s="26"/>
      <c r="AG340" s="26"/>
      <c r="AH340" s="26"/>
      <c r="AI340" s="26"/>
    </row>
    <row r="341" spans="15:35" x14ac:dyDescent="0.25"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Z341" s="26"/>
      <c r="AA341" s="26"/>
      <c r="AB341" s="26"/>
      <c r="AD341" s="26"/>
      <c r="AE341" s="26"/>
      <c r="AF341" s="26"/>
      <c r="AG341" s="26"/>
      <c r="AH341" s="26"/>
      <c r="AI341" s="26"/>
    </row>
    <row r="342" spans="15:35" x14ac:dyDescent="0.25"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Z342" s="26"/>
      <c r="AA342" s="26"/>
      <c r="AB342" s="26"/>
      <c r="AD342" s="26"/>
      <c r="AE342" s="26"/>
      <c r="AF342" s="26"/>
      <c r="AG342" s="26"/>
      <c r="AH342" s="26"/>
      <c r="AI342" s="26"/>
    </row>
    <row r="343" spans="15:35" x14ac:dyDescent="0.25"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Z343" s="26"/>
      <c r="AA343" s="26"/>
      <c r="AB343" s="26"/>
      <c r="AD343" s="26"/>
      <c r="AE343" s="26"/>
      <c r="AF343" s="26"/>
      <c r="AG343" s="26"/>
      <c r="AH343" s="26"/>
      <c r="AI343" s="26"/>
    </row>
    <row r="344" spans="15:35" x14ac:dyDescent="0.25"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Z344" s="26"/>
      <c r="AA344" s="26"/>
      <c r="AB344" s="26"/>
      <c r="AD344" s="26"/>
      <c r="AE344" s="26"/>
      <c r="AF344" s="26"/>
      <c r="AG344" s="26"/>
      <c r="AH344" s="26"/>
      <c r="AI344" s="26"/>
    </row>
    <row r="345" spans="15:35" x14ac:dyDescent="0.25"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Z345" s="26"/>
      <c r="AA345" s="26"/>
      <c r="AB345" s="26"/>
      <c r="AD345" s="26"/>
      <c r="AE345" s="26"/>
      <c r="AF345" s="26"/>
      <c r="AG345" s="26"/>
      <c r="AH345" s="26"/>
      <c r="AI345" s="26"/>
    </row>
    <row r="346" spans="15:35" x14ac:dyDescent="0.25"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Z346" s="26"/>
      <c r="AA346" s="26"/>
      <c r="AB346" s="26"/>
      <c r="AD346" s="26"/>
      <c r="AE346" s="26"/>
      <c r="AF346" s="26"/>
      <c r="AG346" s="26"/>
      <c r="AH346" s="26"/>
      <c r="AI346" s="26"/>
    </row>
    <row r="347" spans="15:35" x14ac:dyDescent="0.25"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Z347" s="26"/>
      <c r="AA347" s="26"/>
      <c r="AB347" s="26"/>
      <c r="AD347" s="26"/>
      <c r="AE347" s="26"/>
      <c r="AF347" s="26"/>
      <c r="AG347" s="26"/>
      <c r="AH347" s="26"/>
      <c r="AI347" s="26"/>
    </row>
    <row r="348" spans="15:35" x14ac:dyDescent="0.25"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Z348" s="26"/>
      <c r="AA348" s="26"/>
      <c r="AB348" s="26"/>
      <c r="AD348" s="26"/>
      <c r="AE348" s="26"/>
      <c r="AF348" s="26"/>
      <c r="AG348" s="26"/>
      <c r="AH348" s="26"/>
      <c r="AI348" s="26"/>
    </row>
    <row r="349" spans="15:35" x14ac:dyDescent="0.25"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Z349" s="26"/>
      <c r="AA349" s="26"/>
      <c r="AB349" s="26"/>
      <c r="AD349" s="26"/>
      <c r="AE349" s="26"/>
      <c r="AF349" s="26"/>
      <c r="AG349" s="26"/>
      <c r="AH349" s="26"/>
      <c r="AI349" s="26"/>
    </row>
    <row r="350" spans="15:35" x14ac:dyDescent="0.25"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Z350" s="26"/>
      <c r="AA350" s="26"/>
      <c r="AB350" s="26"/>
      <c r="AD350" s="26"/>
      <c r="AE350" s="26"/>
      <c r="AF350" s="26"/>
      <c r="AG350" s="26"/>
      <c r="AH350" s="26"/>
      <c r="AI350" s="26"/>
    </row>
    <row r="351" spans="15:35" x14ac:dyDescent="0.25"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Z351" s="26"/>
      <c r="AA351" s="26"/>
      <c r="AB351" s="26"/>
      <c r="AD351" s="26"/>
      <c r="AE351" s="26"/>
      <c r="AF351" s="26"/>
      <c r="AG351" s="26"/>
      <c r="AH351" s="26"/>
      <c r="AI351" s="26"/>
    </row>
    <row r="352" spans="15:35" x14ac:dyDescent="0.25"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Z352" s="26"/>
      <c r="AA352" s="26"/>
      <c r="AB352" s="26"/>
      <c r="AD352" s="26"/>
      <c r="AE352" s="26"/>
      <c r="AF352" s="26"/>
      <c r="AG352" s="26"/>
      <c r="AH352" s="26"/>
      <c r="AI352" s="26"/>
    </row>
    <row r="353" spans="15:35" x14ac:dyDescent="0.25"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Z353" s="26"/>
      <c r="AA353" s="26"/>
      <c r="AB353" s="26"/>
      <c r="AD353" s="26"/>
      <c r="AE353" s="26"/>
      <c r="AF353" s="26"/>
      <c r="AG353" s="26"/>
      <c r="AH353" s="26"/>
      <c r="AI353" s="26"/>
    </row>
    <row r="354" spans="15:35" x14ac:dyDescent="0.25"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Z354" s="26"/>
      <c r="AA354" s="26"/>
      <c r="AB354" s="26"/>
      <c r="AD354" s="26"/>
      <c r="AE354" s="26"/>
      <c r="AF354" s="26"/>
      <c r="AG354" s="26"/>
      <c r="AH354" s="26"/>
      <c r="AI354" s="26"/>
    </row>
    <row r="355" spans="15:35" x14ac:dyDescent="0.25"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Z355" s="26"/>
      <c r="AA355" s="26"/>
      <c r="AB355" s="26"/>
      <c r="AD355" s="26"/>
      <c r="AE355" s="26"/>
      <c r="AF355" s="26"/>
      <c r="AG355" s="26"/>
      <c r="AH355" s="26"/>
      <c r="AI355" s="26"/>
    </row>
    <row r="356" spans="15:35" x14ac:dyDescent="0.25"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Z356" s="26"/>
      <c r="AA356" s="26"/>
      <c r="AB356" s="26"/>
      <c r="AD356" s="26"/>
      <c r="AE356" s="26"/>
      <c r="AF356" s="26"/>
      <c r="AG356" s="26"/>
      <c r="AH356" s="26"/>
      <c r="AI356" s="26"/>
    </row>
    <row r="357" spans="15:35" x14ac:dyDescent="0.25"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Z357" s="26"/>
      <c r="AA357" s="26"/>
      <c r="AB357" s="26"/>
      <c r="AD357" s="26"/>
      <c r="AE357" s="26"/>
      <c r="AF357" s="26"/>
      <c r="AG357" s="26"/>
      <c r="AH357" s="26"/>
      <c r="AI357" s="26"/>
    </row>
    <row r="358" spans="15:35" x14ac:dyDescent="0.25"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Z358" s="26"/>
      <c r="AA358" s="26"/>
      <c r="AB358" s="26"/>
      <c r="AD358" s="26"/>
      <c r="AE358" s="26"/>
      <c r="AF358" s="26"/>
      <c r="AG358" s="26"/>
      <c r="AH358" s="26"/>
      <c r="AI358" s="26"/>
    </row>
    <row r="359" spans="15:35" x14ac:dyDescent="0.25"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Z359" s="26"/>
      <c r="AA359" s="26"/>
      <c r="AB359" s="26"/>
      <c r="AD359" s="26"/>
      <c r="AE359" s="26"/>
      <c r="AF359" s="26"/>
      <c r="AG359" s="26"/>
      <c r="AH359" s="26"/>
      <c r="AI359" s="26"/>
    </row>
    <row r="360" spans="15:35" x14ac:dyDescent="0.25"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Z360" s="26"/>
      <c r="AA360" s="26"/>
      <c r="AB360" s="26"/>
      <c r="AD360" s="26"/>
      <c r="AE360" s="26"/>
      <c r="AF360" s="26"/>
      <c r="AG360" s="26"/>
      <c r="AH360" s="26"/>
      <c r="AI360" s="26"/>
    </row>
    <row r="361" spans="15:35" x14ac:dyDescent="0.25"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Z361" s="26"/>
      <c r="AA361" s="26"/>
      <c r="AB361" s="26"/>
      <c r="AD361" s="26"/>
      <c r="AE361" s="26"/>
      <c r="AF361" s="26"/>
      <c r="AG361" s="26"/>
      <c r="AH361" s="26"/>
      <c r="AI361" s="26"/>
    </row>
    <row r="362" spans="15:35" x14ac:dyDescent="0.25"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Z362" s="26"/>
      <c r="AA362" s="26"/>
      <c r="AB362" s="26"/>
      <c r="AD362" s="26"/>
      <c r="AE362" s="26"/>
      <c r="AF362" s="26"/>
      <c r="AG362" s="26"/>
      <c r="AH362" s="26"/>
      <c r="AI362" s="26"/>
    </row>
    <row r="363" spans="15:35" x14ac:dyDescent="0.25"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Z363" s="26"/>
      <c r="AA363" s="26"/>
      <c r="AB363" s="26"/>
      <c r="AD363" s="26"/>
      <c r="AE363" s="26"/>
      <c r="AF363" s="26"/>
      <c r="AG363" s="26"/>
      <c r="AH363" s="26"/>
      <c r="AI363" s="26"/>
    </row>
    <row r="364" spans="15:35" x14ac:dyDescent="0.25"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Z364" s="26"/>
      <c r="AA364" s="26"/>
      <c r="AB364" s="26"/>
      <c r="AD364" s="26"/>
      <c r="AE364" s="26"/>
      <c r="AF364" s="26"/>
      <c r="AG364" s="26"/>
      <c r="AH364" s="26"/>
      <c r="AI364" s="26"/>
    </row>
    <row r="365" spans="15:35" x14ac:dyDescent="0.25"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Z365" s="26"/>
      <c r="AA365" s="26"/>
      <c r="AB365" s="26"/>
      <c r="AD365" s="26"/>
      <c r="AE365" s="26"/>
      <c r="AF365" s="26"/>
      <c r="AG365" s="26"/>
      <c r="AH365" s="26"/>
      <c r="AI365" s="26"/>
    </row>
    <row r="366" spans="15:35" x14ac:dyDescent="0.25"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Z366" s="26"/>
      <c r="AA366" s="26"/>
      <c r="AB366" s="26"/>
      <c r="AD366" s="26"/>
      <c r="AE366" s="26"/>
      <c r="AF366" s="26"/>
      <c r="AG366" s="26"/>
      <c r="AH366" s="26"/>
      <c r="AI366" s="26"/>
    </row>
    <row r="367" spans="15:35" x14ac:dyDescent="0.25"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Z367" s="26"/>
      <c r="AA367" s="26"/>
      <c r="AB367" s="26"/>
      <c r="AD367" s="26"/>
      <c r="AE367" s="26"/>
      <c r="AF367" s="26"/>
      <c r="AG367" s="26"/>
      <c r="AH367" s="26"/>
      <c r="AI367" s="26"/>
    </row>
    <row r="368" spans="15:35" x14ac:dyDescent="0.25"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Z368" s="26"/>
      <c r="AA368" s="26"/>
      <c r="AB368" s="26"/>
      <c r="AD368" s="26"/>
      <c r="AE368" s="26"/>
      <c r="AF368" s="26"/>
      <c r="AG368" s="26"/>
      <c r="AH368" s="26"/>
      <c r="AI368" s="26"/>
    </row>
    <row r="369" spans="15:35" x14ac:dyDescent="0.25"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Z369" s="26"/>
      <c r="AA369" s="26"/>
      <c r="AB369" s="26"/>
      <c r="AD369" s="26"/>
      <c r="AE369" s="26"/>
      <c r="AF369" s="26"/>
      <c r="AG369" s="26"/>
      <c r="AH369" s="26"/>
      <c r="AI369" s="26"/>
    </row>
    <row r="370" spans="15:35" x14ac:dyDescent="0.25"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Z370" s="26"/>
      <c r="AA370" s="26"/>
      <c r="AB370" s="26"/>
      <c r="AD370" s="26"/>
      <c r="AE370" s="26"/>
      <c r="AF370" s="26"/>
      <c r="AG370" s="26"/>
      <c r="AH370" s="26"/>
      <c r="AI370" s="26"/>
    </row>
    <row r="371" spans="15:35" x14ac:dyDescent="0.25"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Z371" s="26"/>
      <c r="AA371" s="26"/>
      <c r="AB371" s="26"/>
      <c r="AD371" s="26"/>
      <c r="AE371" s="26"/>
      <c r="AF371" s="26"/>
      <c r="AG371" s="26"/>
      <c r="AH371" s="26"/>
      <c r="AI371" s="26"/>
    </row>
    <row r="372" spans="15:35" x14ac:dyDescent="0.25"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Z372" s="26"/>
      <c r="AA372" s="26"/>
      <c r="AB372" s="26"/>
      <c r="AD372" s="26"/>
      <c r="AE372" s="26"/>
      <c r="AF372" s="26"/>
      <c r="AG372" s="26"/>
      <c r="AH372" s="26"/>
      <c r="AI372" s="26"/>
    </row>
    <row r="373" spans="15:35" x14ac:dyDescent="0.25"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Z373" s="26"/>
      <c r="AA373" s="26"/>
      <c r="AB373" s="26"/>
      <c r="AD373" s="26"/>
      <c r="AE373" s="26"/>
      <c r="AF373" s="26"/>
      <c r="AG373" s="26"/>
      <c r="AH373" s="26"/>
      <c r="AI373" s="26"/>
    </row>
    <row r="374" spans="15:35" x14ac:dyDescent="0.25"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Z374" s="26"/>
      <c r="AA374" s="26"/>
      <c r="AB374" s="26"/>
      <c r="AD374" s="26"/>
      <c r="AE374" s="26"/>
      <c r="AF374" s="26"/>
      <c r="AG374" s="26"/>
      <c r="AH374" s="26"/>
      <c r="AI374" s="26"/>
    </row>
    <row r="375" spans="15:35" x14ac:dyDescent="0.25"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Z375" s="26"/>
      <c r="AA375" s="26"/>
      <c r="AB375" s="26"/>
      <c r="AD375" s="26"/>
      <c r="AE375" s="26"/>
      <c r="AF375" s="26"/>
      <c r="AG375" s="26"/>
      <c r="AH375" s="26"/>
      <c r="AI375" s="26"/>
    </row>
    <row r="376" spans="15:35" x14ac:dyDescent="0.25"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Z376" s="26"/>
      <c r="AA376" s="26"/>
      <c r="AB376" s="26"/>
      <c r="AD376" s="26"/>
      <c r="AE376" s="26"/>
      <c r="AF376" s="26"/>
      <c r="AG376" s="26"/>
      <c r="AH376" s="26"/>
      <c r="AI376" s="26"/>
    </row>
    <row r="377" spans="15:35" x14ac:dyDescent="0.25"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Z377" s="26"/>
      <c r="AA377" s="26"/>
      <c r="AB377" s="26"/>
      <c r="AD377" s="26"/>
      <c r="AE377" s="26"/>
      <c r="AF377" s="26"/>
      <c r="AG377" s="26"/>
      <c r="AH377" s="26"/>
      <c r="AI377" s="26"/>
    </row>
    <row r="378" spans="15:35" x14ac:dyDescent="0.25"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Z378" s="26"/>
      <c r="AA378" s="26"/>
      <c r="AB378" s="26"/>
      <c r="AD378" s="26"/>
      <c r="AE378" s="26"/>
      <c r="AF378" s="26"/>
      <c r="AG378" s="26"/>
      <c r="AH378" s="26"/>
      <c r="AI378" s="26"/>
    </row>
    <row r="379" spans="15:35" x14ac:dyDescent="0.25"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Z379" s="26"/>
      <c r="AA379" s="26"/>
      <c r="AB379" s="26"/>
      <c r="AD379" s="26"/>
      <c r="AE379" s="26"/>
      <c r="AF379" s="26"/>
      <c r="AG379" s="26"/>
      <c r="AH379" s="26"/>
      <c r="AI379" s="26"/>
    </row>
    <row r="380" spans="15:35" x14ac:dyDescent="0.25"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Z380" s="26"/>
      <c r="AA380" s="26"/>
      <c r="AB380" s="26"/>
      <c r="AD380" s="26"/>
      <c r="AE380" s="26"/>
      <c r="AF380" s="26"/>
      <c r="AG380" s="26"/>
      <c r="AH380" s="26"/>
      <c r="AI380" s="26"/>
    </row>
    <row r="381" spans="15:35" x14ac:dyDescent="0.25"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Z381" s="26"/>
      <c r="AA381" s="26"/>
      <c r="AB381" s="26"/>
    </row>
    <row r="382" spans="15:35" x14ac:dyDescent="0.25"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Z382" s="26"/>
      <c r="AA382" s="26"/>
      <c r="AB382" s="26"/>
    </row>
    <row r="383" spans="15:35" x14ac:dyDescent="0.25"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Z383" s="26"/>
      <c r="AA383" s="26"/>
      <c r="AB383" s="26"/>
    </row>
    <row r="384" spans="15:35" x14ac:dyDescent="0.25"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Z384" s="26"/>
      <c r="AA384" s="26"/>
      <c r="AB384" s="26"/>
    </row>
    <row r="385" spans="15:28" x14ac:dyDescent="0.25"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Z385" s="26"/>
      <c r="AA385" s="26"/>
      <c r="AB385" s="26"/>
    </row>
    <row r="386" spans="15:28" x14ac:dyDescent="0.25"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Z386" s="26"/>
      <c r="AA386" s="26"/>
      <c r="AB386" s="26"/>
    </row>
    <row r="387" spans="15:28" x14ac:dyDescent="0.25"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Z387" s="26"/>
      <c r="AA387" s="26"/>
      <c r="AB387" s="26"/>
    </row>
    <row r="388" spans="15:28" x14ac:dyDescent="0.25"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Z388" s="26"/>
      <c r="AA388" s="26"/>
      <c r="AB388" s="26"/>
    </row>
    <row r="389" spans="15:28" x14ac:dyDescent="0.25"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Z389" s="26"/>
      <c r="AA389" s="26"/>
      <c r="AB389" s="26"/>
    </row>
    <row r="390" spans="15:28" x14ac:dyDescent="0.25"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Z390" s="26"/>
      <c r="AA390" s="26"/>
      <c r="AB390" s="26"/>
    </row>
    <row r="391" spans="15:28" x14ac:dyDescent="0.25"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Z391" s="26"/>
      <c r="AA391" s="26"/>
      <c r="AB391" s="26"/>
    </row>
    <row r="392" spans="15:28" x14ac:dyDescent="0.25"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Z392" s="26"/>
      <c r="AA392" s="26"/>
      <c r="AB392" s="26"/>
    </row>
    <row r="393" spans="15:28" x14ac:dyDescent="0.25"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Z393" s="26"/>
      <c r="AA393" s="26"/>
      <c r="AB393" s="26"/>
    </row>
    <row r="394" spans="15:28" x14ac:dyDescent="0.25"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Z394" s="26"/>
      <c r="AA394" s="26"/>
      <c r="AB394" s="26"/>
    </row>
    <row r="395" spans="15:28" x14ac:dyDescent="0.25"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Z395" s="26"/>
      <c r="AA395" s="26"/>
      <c r="AB395" s="26"/>
    </row>
    <row r="396" spans="15:28" x14ac:dyDescent="0.25"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Z396" s="26"/>
      <c r="AA396" s="26"/>
      <c r="AB396" s="26"/>
    </row>
    <row r="397" spans="15:28" x14ac:dyDescent="0.25"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Z397" s="26"/>
      <c r="AA397" s="26"/>
      <c r="AB397" s="26"/>
    </row>
    <row r="398" spans="15:28" x14ac:dyDescent="0.25"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Z398" s="26"/>
      <c r="AA398" s="26"/>
      <c r="AB398" s="26"/>
    </row>
    <row r="399" spans="15:28" x14ac:dyDescent="0.25"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Z399" s="26"/>
      <c r="AA399" s="26"/>
      <c r="AB399" s="26"/>
    </row>
    <row r="400" spans="15:28" x14ac:dyDescent="0.25"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Z400" s="26"/>
      <c r="AA400" s="26"/>
      <c r="AB400" s="26"/>
    </row>
    <row r="401" spans="15:28" x14ac:dyDescent="0.25"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Z401" s="26"/>
      <c r="AA401" s="26"/>
      <c r="AB401" s="26"/>
    </row>
    <row r="402" spans="15:28" x14ac:dyDescent="0.25"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Z402" s="26"/>
      <c r="AA402" s="26"/>
      <c r="AB402" s="26"/>
    </row>
    <row r="403" spans="15:28" x14ac:dyDescent="0.25"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Z403" s="26"/>
      <c r="AA403" s="26"/>
      <c r="AB403" s="26"/>
    </row>
    <row r="404" spans="15:28" x14ac:dyDescent="0.25"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Z404" s="26"/>
      <c r="AA404" s="26"/>
      <c r="AB404" s="26"/>
    </row>
    <row r="405" spans="15:28" x14ac:dyDescent="0.25"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Z405" s="26"/>
      <c r="AA405" s="26"/>
      <c r="AB405" s="26"/>
    </row>
    <row r="406" spans="15:28" x14ac:dyDescent="0.25"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Z406" s="26"/>
      <c r="AA406" s="26"/>
      <c r="AB406" s="26"/>
    </row>
    <row r="407" spans="15:28" x14ac:dyDescent="0.25"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Z407" s="26"/>
      <c r="AA407" s="26"/>
      <c r="AB407" s="26"/>
    </row>
    <row r="408" spans="15:28" x14ac:dyDescent="0.25"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Z408" s="26"/>
      <c r="AA408" s="26"/>
      <c r="AB408" s="26"/>
    </row>
    <row r="409" spans="15:28" x14ac:dyDescent="0.25"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Z409" s="26"/>
      <c r="AA409" s="26"/>
      <c r="AB409" s="26"/>
    </row>
    <row r="410" spans="15:28" x14ac:dyDescent="0.25"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Z410" s="26"/>
      <c r="AA410" s="26"/>
      <c r="AB410" s="26"/>
    </row>
    <row r="411" spans="15:28" x14ac:dyDescent="0.25"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Z411" s="26"/>
      <c r="AA411" s="26"/>
      <c r="AB411" s="26"/>
    </row>
    <row r="412" spans="15:28" x14ac:dyDescent="0.25"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Z412" s="26"/>
      <c r="AA412" s="26"/>
      <c r="AB412" s="26"/>
    </row>
    <row r="413" spans="15:28" x14ac:dyDescent="0.25"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Z413" s="26"/>
      <c r="AA413" s="26"/>
      <c r="AB413" s="26"/>
    </row>
    <row r="414" spans="15:28" x14ac:dyDescent="0.25"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Z414" s="26"/>
      <c r="AA414" s="26"/>
      <c r="AB414" s="26"/>
    </row>
    <row r="415" spans="15:28" x14ac:dyDescent="0.25"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Z415" s="26"/>
      <c r="AA415" s="26"/>
      <c r="AB415" s="26"/>
    </row>
    <row r="416" spans="15:28" x14ac:dyDescent="0.25"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Z416" s="26"/>
      <c r="AA416" s="26"/>
      <c r="AB416" s="26"/>
    </row>
    <row r="417" spans="15:28" x14ac:dyDescent="0.25"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Z417" s="26"/>
      <c r="AA417" s="26"/>
      <c r="AB417" s="26"/>
    </row>
    <row r="418" spans="15:28" x14ac:dyDescent="0.25"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Z418" s="26"/>
      <c r="AA418" s="26"/>
      <c r="AB418" s="26"/>
    </row>
    <row r="419" spans="15:28" x14ac:dyDescent="0.25"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Z419" s="26"/>
      <c r="AA419" s="26"/>
      <c r="AB419" s="26"/>
    </row>
  </sheetData>
  <mergeCells count="1">
    <mergeCell ref="A1:B1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11</vt:i4>
      </vt:variant>
    </vt:vector>
  </HeadingPairs>
  <TitlesOfParts>
    <vt:vector size="20" baseType="lpstr">
      <vt:lpstr>Content</vt:lpstr>
      <vt:lpstr>CIF_ResultMatrix</vt:lpstr>
      <vt:lpstr>CIF_ResultMatrix_XPath_Conv</vt:lpstr>
      <vt:lpstr>CIF_ResultMatrix_XPath_NonOVC</vt:lpstr>
      <vt:lpstr>CIF_ResultMatrix_XPath OVC</vt:lpstr>
      <vt:lpstr>CIF_ResultMatrix_XPath_PEV</vt:lpstr>
      <vt:lpstr>CIF_ResultMatrix_Explanation</vt:lpstr>
      <vt:lpstr>CIF_Content_per_Architecture</vt:lpstr>
      <vt:lpstr>MRF_Content_perArchitecture</vt:lpstr>
      <vt:lpstr>MRF_Content_perArchitecture!_Hlk1126142</vt:lpstr>
      <vt:lpstr>MRF_Content_perArchitecture!_Hlk1126182</vt:lpstr>
      <vt:lpstr>MRF_Content_perArchitecture!_Hlk1126201</vt:lpstr>
      <vt:lpstr>MRF_Content_perArchitecture!_Hlk1126953</vt:lpstr>
      <vt:lpstr>MRF_Content_perArchitecture!_Hlk1126981</vt:lpstr>
      <vt:lpstr>MRF_Content_perArchitecture!_Hlk1127053</vt:lpstr>
      <vt:lpstr>MRF_Content_perArchitecture!_Hlk1128606</vt:lpstr>
      <vt:lpstr>MRF_Content_perArchitecture!_Hlk1131303</vt:lpstr>
      <vt:lpstr>MRF_Content_perArchitecture!_Hlk1131335</vt:lpstr>
      <vt:lpstr>MRF_Content_perArchitecture!_Hlk1131572</vt:lpstr>
      <vt:lpstr>MRF_Content_perArchitecture!_Hlk1131611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Rexeis Martin</dc:creator>
  <cp:lastModifiedBy>Rexeis Martin</cp:lastModifiedBy>
  <dcterms:created xsi:type="dcterms:W3CDTF">2023-04-19T10:11:27Z</dcterms:created>
  <dcterms:modified xsi:type="dcterms:W3CDTF">2023-04-25T07:59:08Z</dcterms:modified>
</cp:coreProperties>
</file>